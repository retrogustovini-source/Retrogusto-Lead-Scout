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s" sheetId="1" r:id="rId5"/>
    <sheet state="visible" name="Today View" sheetId="2" r:id="rId6"/>
    <sheet state="visible" name="Late Follow-up" sheetId="3" r:id="rId7"/>
  </sheets>
  <definedNames/>
  <calcPr/>
</workbook>
</file>

<file path=xl/sharedStrings.xml><?xml version="1.0" encoding="utf-8"?>
<sst xmlns="http://schemas.openxmlformats.org/spreadsheetml/2006/main" count="1756" uniqueCount="458">
  <si>
    <t>Lead Name</t>
  </si>
  <si>
    <t>Type</t>
  </si>
  <si>
    <t>Language</t>
  </si>
  <si>
    <t>Zone</t>
  </si>
  <si>
    <t>Contact Channels</t>
  </si>
  <si>
    <t>Contact Quality</t>
  </si>
  <si>
    <t>Situation</t>
  </si>
  <si>
    <t>Status</t>
  </si>
  <si>
    <t>Priority</t>
  </si>
  <si>
    <t>Date Added</t>
  </si>
  <si>
    <t>Last Contact Date</t>
  </si>
  <si>
    <t>Next Follow-up Date</t>
  </si>
  <si>
    <t>Follow-up Strategy</t>
  </si>
  <si>
    <t>Last Email Sent (text)</t>
  </si>
  <si>
    <t>Last Message / Notes</t>
  </si>
  <si>
    <t>Next Action</t>
  </si>
  <si>
    <t>Probability (%)</t>
  </si>
  <si>
    <t>email</t>
  </si>
  <si>
    <t>telefono</t>
  </si>
  <si>
    <t>Ristorante Giardino</t>
  </si>
  <si>
    <t>Ristorante</t>
  </si>
  <si>
    <t>CZ</t>
  </si>
  <si>
    <t>vinoradi</t>
  </si>
  <si>
    <t>Email</t>
  </si>
  <si>
    <t>freddo</t>
  </si>
  <si>
    <t>2 F.U.</t>
  </si>
  <si>
    <t>Waiting</t>
  </si>
  <si>
    <t>Media</t>
  </si>
  <si>
    <t>non harisp. a 2 cold mail</t>
  </si>
  <si>
    <t>Email follow-up</t>
  </si>
  <si>
    <t>giardino@email.cz</t>
  </si>
  <si>
    <t>La palma restaurant</t>
  </si>
  <si>
    <t>praga 8</t>
  </si>
  <si>
    <t>tiepido</t>
  </si>
  <si>
    <t>lapalma@lapalma.cz</t>
  </si>
  <si>
    <t>Kavino</t>
  </si>
  <si>
    <t>Enoteca</t>
  </si>
  <si>
    <t>kavino.praha@gmail.com</t>
  </si>
  <si>
    <t>Wine institut</t>
  </si>
  <si>
    <t>praga 10</t>
  </si>
  <si>
    <t>1 F.U.</t>
  </si>
  <si>
    <t>Lost</t>
  </si>
  <si>
    <t>Alta</t>
  </si>
  <si>
    <t>08/12 abbiamo prezzi troppo alti</t>
  </si>
  <si>
    <t>ha chiesto listino prezzi + dice che abbiamo prezzi alti</t>
  </si>
  <si>
    <t>info@wineinstitute.cz</t>
  </si>
  <si>
    <t>Barriqada</t>
  </si>
  <si>
    <t>Wine Bar</t>
  </si>
  <si>
    <t>radek.markup@barriqada.cz</t>
  </si>
  <si>
    <t>Portovino</t>
  </si>
  <si>
    <t>EN</t>
  </si>
  <si>
    <t>florenc</t>
  </si>
  <si>
    <t>2 f.u.</t>
  </si>
  <si>
    <t>non ha risp. 2 coldmail</t>
  </si>
  <si>
    <t>Call</t>
  </si>
  <si>
    <t>portovinopraha@gmail.com</t>
  </si>
  <si>
    <t>Wonder Wines Bar</t>
  </si>
  <si>
    <t>Andel</t>
  </si>
  <si>
    <t>Strong follow-up</t>
  </si>
  <si>
    <t>contact@wonderwinesbar.cz</t>
  </si>
  <si>
    <t>Fairmont Golden Prague</t>
  </si>
  <si>
    <t>Hotel</t>
  </si>
  <si>
    <t>josefov</t>
  </si>
  <si>
    <t>caldo</t>
  </si>
  <si>
    <t>zlatapraha@fairmont.com prague.sales@fairmont.com prague.events@fairmont.com</t>
  </si>
  <si>
    <t>The Italians</t>
  </si>
  <si>
    <t>Importatore</t>
  </si>
  <si>
    <t>smichov</t>
  </si>
  <si>
    <t>info@theitalians.cz</t>
  </si>
  <si>
    <t>Pratele Wine Friends</t>
  </si>
  <si>
    <t>praha 2</t>
  </si>
  <si>
    <t>info@pratelewinefriends.cz</t>
  </si>
  <si>
    <t>Vinvin vinny bar</t>
  </si>
  <si>
    <t>zizkov</t>
  </si>
  <si>
    <t>info@vinvin.cz</t>
  </si>
  <si>
    <t>Olive Point</t>
  </si>
  <si>
    <t xml:space="preserve">olivepointprague@gmail.com
</t>
  </si>
  <si>
    <t>Thomas Sanetra</t>
  </si>
  <si>
    <t>Edinburgo</t>
  </si>
  <si>
    <t>cold mail</t>
  </si>
  <si>
    <t>Active</t>
  </si>
  <si>
    <t>inviato listino distr. EU</t>
  </si>
  <si>
    <t>ha chiesto listino</t>
  </si>
  <si>
    <t>Soft follow-up</t>
  </si>
  <si>
    <t>thomas@wine52.com</t>
  </si>
  <si>
    <t>La Vite</t>
  </si>
  <si>
    <t>praha</t>
  </si>
  <si>
    <t>praha@lavite.cz</t>
  </si>
  <si>
    <t>Panorama Hotel- F&amp;B Bartosz Szymanski</t>
  </si>
  <si>
    <t>praga</t>
  </si>
  <si>
    <t>Phone</t>
  </si>
  <si>
    <t>chiesto via mail se vuole iniziare con primitivo</t>
  </si>
  <si>
    <t>w.a. con listino</t>
  </si>
  <si>
    <t>28/11 portare 3 samples 05/12 chiesto responso samples</t>
  </si>
  <si>
    <t>bartosz.szymanski@verdihotels.com</t>
  </si>
  <si>
    <t>Le Barbatelle - Miro Pianca</t>
  </si>
  <si>
    <t>Varsavia</t>
  </si>
  <si>
    <t>non hanno mai risp</t>
  </si>
  <si>
    <t>mp@lebarbatelle.com</t>
  </si>
  <si>
    <t>Vinieaffini.pl - Alan Bednarski</t>
  </si>
  <si>
    <t xml:space="preserve">        a.bednarski@vinieaffini.pl</t>
  </si>
  <si>
    <t>Cotto Crudo restaurant</t>
  </si>
  <si>
    <t>restaurant.prague@fourseasons.com</t>
  </si>
  <si>
    <t>Bistro Karel</t>
  </si>
  <si>
    <t xml:space="preserve">        info@bistrokarel.cz</t>
  </si>
  <si>
    <t>La Farma Restaurant</t>
  </si>
  <si>
    <t xml:space="preserve">        info@lafarma.cz</t>
  </si>
  <si>
    <t>La Fattoria</t>
  </si>
  <si>
    <t>Distributore</t>
  </si>
  <si>
    <t>lafattoria@lafattoria.cz</t>
  </si>
  <si>
    <t>VinoDoc sro</t>
  </si>
  <si>
    <t>info@vinodoc.cz</t>
  </si>
  <si>
    <r>
      <rPr/>
      <t xml:space="preserve">Cebeforge sro - </t>
    </r>
    <r>
      <rPr>
        <color rgb="FF1155CC"/>
        <u/>
      </rPr>
      <t>italskevino.cz</t>
    </r>
  </si>
  <si>
    <t>ceske budejovice</t>
  </si>
  <si>
    <t>vino@italskevino.cz</t>
  </si>
  <si>
    <r>
      <rPr/>
      <t xml:space="preserve">Karen Trade sro - </t>
    </r>
    <r>
      <rPr>
        <color rgb="FF1155CC"/>
        <u/>
      </rPr>
      <t>italvino.cz</t>
    </r>
  </si>
  <si>
    <t>mi ha detto dopo le feste</t>
  </si>
  <si>
    <t xml:space="preserve">obchod@italvino.cz
</t>
  </si>
  <si>
    <t>Pizzeria Castello</t>
  </si>
  <si>
    <t>info@pizzeriacastello.cz</t>
  </si>
  <si>
    <t>Pizzeria Allegria</t>
  </si>
  <si>
    <t>info@pizzeriaallegria.cz</t>
  </si>
  <si>
    <t>Pizzeria Amunì</t>
  </si>
  <si>
    <t>info@amunipraha.cz</t>
  </si>
  <si>
    <t>Ristorante Di Carlo</t>
  </si>
  <si>
    <t>seberov@dicarlo.cz</t>
  </si>
  <si>
    <t>Ristorante Felicita</t>
  </si>
  <si>
    <t>Degu</t>
  </si>
  <si>
    <t>WIn</t>
  </si>
  <si>
    <t>cliente vinto</t>
  </si>
  <si>
    <t>Close / Lost</t>
  </si>
  <si>
    <t>svasek@felicita.cz</t>
  </si>
  <si>
    <t>326 904 747</t>
  </si>
  <si>
    <t>Ristorante Jeneralka</t>
  </si>
  <si>
    <t>info@restauracejeneralka.cz</t>
  </si>
  <si>
    <t>Ristorante La Boca</t>
  </si>
  <si>
    <t>restaurant@laboca.cz</t>
  </si>
  <si>
    <t>Ristorante La Finestra</t>
  </si>
  <si>
    <t>info@lafinestra.cz</t>
  </si>
  <si>
    <t>Marina Ristorante</t>
  </si>
  <si>
    <t>rezervace@marinaristorante.cz</t>
  </si>
  <si>
    <t>Vinoteka u Lachtana</t>
  </si>
  <si>
    <t>info@vinotekaulachtana.cz</t>
  </si>
  <si>
    <t>Ristorante Di Nuovo</t>
  </si>
  <si>
    <t>restaurace@dinuovo.cz</t>
  </si>
  <si>
    <t>Da Pietro</t>
  </si>
  <si>
    <t>Ha risp. cold mail</t>
  </si>
  <si>
    <t>è distributore dei vini che vende e non ne vuole altri</t>
  </si>
  <si>
    <t>Rossopomodoro Vinihrady</t>
  </si>
  <si>
    <t>vinohrady@rossopomodoro.cz</t>
  </si>
  <si>
    <t>Concordia</t>
  </si>
  <si>
    <t>ricontattare prima dell'estate</t>
  </si>
  <si>
    <t>info@concordia-ristorante.cz</t>
  </si>
  <si>
    <t>Trattoria Da Adi</t>
  </si>
  <si>
    <t>lasciato 1 primitivo+ 1 montep. + 1 pinot + 1 pecorino</t>
  </si>
  <si>
    <t>ha chiesto di essere contattato primi di dicembre</t>
  </si>
  <si>
    <t>newfood@seznam.cz</t>
  </si>
  <si>
    <t>Albarello</t>
  </si>
  <si>
    <t>pavel.kramar@albarelo.cz</t>
  </si>
  <si>
    <t>Dorita</t>
  </si>
  <si>
    <t>non vuole xkè abbiamo eshop</t>
  </si>
  <si>
    <t>info@dorita.cz</t>
  </si>
  <si>
    <t>733 582 737</t>
  </si>
  <si>
    <t>Perfekt Vino</t>
  </si>
  <si>
    <t>info@perfekt-vino.cz</t>
  </si>
  <si>
    <t>Vini e Vini</t>
  </si>
  <si>
    <t>info@vinievini.cz</t>
  </si>
  <si>
    <t>Royal Wine</t>
  </si>
  <si>
    <t>Brno</t>
  </si>
  <si>
    <t>info@royal-wine.cz</t>
  </si>
  <si>
    <t>Vino Velkoobchod</t>
  </si>
  <si>
    <t>jthur@vino-velkoobchod.cz</t>
  </si>
  <si>
    <t>Wine Planet</t>
  </si>
  <si>
    <t xml:space="preserve"> info@wineplanet.cz</t>
  </si>
  <si>
    <t>Ristorantino da Matteo</t>
  </si>
  <si>
    <t>Brogi@seznam.cz</t>
  </si>
  <si>
    <t>737 709 980</t>
  </si>
  <si>
    <t>Sasy the Original</t>
  </si>
  <si>
    <t>IT</t>
  </si>
  <si>
    <t>sasytheoriginal@seznam.cz</t>
  </si>
  <si>
    <t xml:space="preserve">Trattoria Bellissimo </t>
  </si>
  <si>
    <t>14/1 w.a. hanno chiesto listino</t>
  </si>
  <si>
    <t>09/12 lasciato primitivo, pecorino e pinot</t>
  </si>
  <si>
    <t>info.trattoria.bellissimo@gmail.com</t>
  </si>
  <si>
    <t>Elenni</t>
  </si>
  <si>
    <t>rezervace@elemmi.cz</t>
  </si>
  <si>
    <t>Vina Srdcem</t>
  </si>
  <si>
    <t>hanno 6 enoteche + eshop</t>
  </si>
  <si>
    <t>info@vinasrdcem.cz</t>
  </si>
  <si>
    <t>U Vestonickeho Venouce</t>
  </si>
  <si>
    <t>Bassa</t>
  </si>
  <si>
    <t>15/1 vini piaciuti, ma vende 2 dc a soli 40 Kc</t>
  </si>
  <si>
    <t>semir.m@volny.cz</t>
  </si>
  <si>
    <t>Belcredi</t>
  </si>
  <si>
    <t>2 F. U.</t>
  </si>
  <si>
    <t>info@belcredibistro.cz</t>
  </si>
  <si>
    <t>Osteria Mensa Prague</t>
  </si>
  <si>
    <t>mensa.prague@gmail.com</t>
  </si>
  <si>
    <t>Ristorante Del Corso</t>
  </si>
  <si>
    <t>delcorso@email.cz</t>
  </si>
  <si>
    <t>Matilda Prague</t>
  </si>
  <si>
    <t>ha risp. che non vuole inserire vini. ricontattare fabbraio</t>
  </si>
  <si>
    <t>business@matildaprague.com</t>
  </si>
  <si>
    <t>winebar.cz</t>
  </si>
  <si>
    <t>martina.urbanova@winebar.cz</t>
  </si>
  <si>
    <t>Ristorante da Toni</t>
  </si>
  <si>
    <t>info@datoni.cz</t>
  </si>
  <si>
    <t>Ristorante la piccola perla</t>
  </si>
  <si>
    <t>Passare con samples</t>
  </si>
  <si>
    <t>Visit</t>
  </si>
  <si>
    <t>la.piccola.perla@email.cz</t>
  </si>
  <si>
    <t>Bistro No. 19</t>
  </si>
  <si>
    <t>degu</t>
  </si>
  <si>
    <t>12/1 chiamato. assente chiesto di essere richiamato</t>
  </si>
  <si>
    <t xml:space="preserve"> vini piaciuti 26/11 tasting</t>
  </si>
  <si>
    <t>no19@email.cz</t>
  </si>
  <si>
    <t>Moje první Vinotéka</t>
  </si>
  <si>
    <t>vini preferito: Mont. - Prim. - Peco. - Prose.</t>
  </si>
  <si>
    <t>10/12 vuole tasting</t>
  </si>
  <si>
    <t>info@mojeprvnivinoteka.cz</t>
  </si>
  <si>
    <t>Vincaffè</t>
  </si>
  <si>
    <t>info@vincaffe.cz</t>
  </si>
  <si>
    <t>Vinoteka Seiferta</t>
  </si>
  <si>
    <t>vinotekaseifertka@gmail.com</t>
  </si>
  <si>
    <t>Bokovka</t>
  </si>
  <si>
    <t>12/!2 chiesto samples</t>
  </si>
  <si>
    <t>obchod@bokovka.com</t>
  </si>
  <si>
    <t>Restaurace Najedli</t>
  </si>
  <si>
    <t>vini piaciuti richiamare aprile x inserimento</t>
  </si>
  <si>
    <t>Martina manager 14/1 inviato listino</t>
  </si>
  <si>
    <t>10/12 chiesto samples</t>
  </si>
  <si>
    <t>info@najedli.cz</t>
  </si>
  <si>
    <t>Pizzeria Gatto Nero</t>
  </si>
  <si>
    <t>port. primitivo sample</t>
  </si>
  <si>
    <t>pizzavinohrady@gmail.com</t>
  </si>
  <si>
    <t>Le Camille</t>
  </si>
  <si>
    <t>21/1 consegnati 1 primitivo + 1 pinot</t>
  </si>
  <si>
    <t>12/12 chiesto responso samples</t>
  </si>
  <si>
    <t>lecamille@email.cz</t>
  </si>
  <si>
    <t>Pepř a Sůl</t>
  </si>
  <si>
    <t>restaurace@peprasul.cz</t>
  </si>
  <si>
    <t>Brambory</t>
  </si>
  <si>
    <t>info@bramborynapankraci.cz</t>
  </si>
  <si>
    <t>Backstage Restaurant</t>
  </si>
  <si>
    <t>info@backstagerestaurant.cz</t>
  </si>
  <si>
    <t>U Bulinu</t>
  </si>
  <si>
    <t>info@ubulinu.cz</t>
  </si>
  <si>
    <t>Winebar Kabinet Harfa</t>
  </si>
  <si>
    <t>harfa@kabinet.bar</t>
  </si>
  <si>
    <t>777 909 976</t>
  </si>
  <si>
    <t>VinodiVino</t>
  </si>
  <si>
    <t>vinodivino@vinodivino.cz</t>
  </si>
  <si>
    <t>Wine Rebel</t>
  </si>
  <si>
    <t>vinoteka@winerebels.cz</t>
  </si>
  <si>
    <t xml:space="preserve">Vicom </t>
  </si>
  <si>
    <t>info@praha-vino.cz</t>
  </si>
  <si>
    <t>Al Mulino</t>
  </si>
  <si>
    <t>1 contatto</t>
  </si>
  <si>
    <t>6/2 Honza ha detto che il titolare non vuole inserire nuovi vini x ora. ricontattare tra qualche mese16/1 Honza ha chiesto listino, ho inviato mail con listino + richiesta x degustazione</t>
  </si>
  <si>
    <t>05/12 lasciato Gnoremà</t>
  </si>
  <si>
    <t>almulino@pddp.cz</t>
  </si>
  <si>
    <t>V Zátiší</t>
  </si>
  <si>
    <t>Coda Restaurant</t>
  </si>
  <si>
    <t>Grand Cru Restaurant</t>
  </si>
  <si>
    <t>Pasta Fresca</t>
  </si>
  <si>
    <t>celetna@ambi.cz</t>
  </si>
  <si>
    <r>
      <rPr>
        <color rgb="FF1155CC"/>
        <u/>
      </rPr>
      <t>224 230 244</t>
    </r>
  </si>
  <si>
    <t>Vin de marie</t>
  </si>
  <si>
    <t>Follow-up gentle - ricordando la sua mail</t>
  </si>
  <si>
    <t>26/1 email mi ha detto: Non espandono portfolio ora - ricontattare Q2 2025</t>
  </si>
  <si>
    <t>cold + Listino</t>
  </si>
  <si>
    <t>vindemarie@ambi.cz</t>
  </si>
  <si>
    <r>
      <rPr>
        <color rgb="FF1155CC"/>
        <u/>
      </rPr>
      <t>737 595 913</t>
    </r>
  </si>
  <si>
    <t>Ambi</t>
  </si>
  <si>
    <t>Non vogliono altri vini riprovare fra qualche mese</t>
  </si>
  <si>
    <t>info@ambi.cz</t>
  </si>
  <si>
    <t>Eska</t>
  </si>
  <si>
    <t>Passare x samples</t>
  </si>
  <si>
    <t>eska@ambi.cz</t>
  </si>
  <si>
    <t>Stagl</t>
  </si>
  <si>
    <t>Passare x lasciare samples</t>
  </si>
  <si>
    <t>stangl@ambi.cz</t>
  </si>
  <si>
    <t>Augustine Restaurant</t>
  </si>
  <si>
    <t>restaurant.augustine@luxurycollection.com</t>
  </si>
  <si>
    <t>W Restaurant</t>
  </si>
  <si>
    <t>reservations@wrestaurant.cz</t>
  </si>
  <si>
    <r>
      <rPr>
        <color rgb="FF1155CC"/>
        <u/>
      </rPr>
      <t>730 779 999</t>
    </r>
  </si>
  <si>
    <t>Vinobona</t>
  </si>
  <si>
    <t>non hanno risposto, passare portare samples</t>
  </si>
  <si>
    <t>lucie@vinobona-chefstable.cz</t>
  </si>
  <si>
    <t>222 211 070</t>
  </si>
  <si>
    <t>Tast Restaurant</t>
  </si>
  <si>
    <t>info@tastrestaurant.cz</t>
  </si>
  <si>
    <r>
      <rPr>
        <rFont val="Calibri"/>
        <color rgb="FF1155CC"/>
        <u/>
      </rPr>
      <t>739 794 900</t>
    </r>
  </si>
  <si>
    <t>Uvoz Restaurant</t>
  </si>
  <si>
    <t>info@uvozrestaurant.cz</t>
  </si>
  <si>
    <r>
      <rPr>
        <rFont val="Calibri"/>
        <color rgb="FF1155CC"/>
        <u/>
      </rPr>
      <t>725 321 408</t>
    </r>
  </si>
  <si>
    <t>Spek a Vino</t>
  </si>
  <si>
    <t>info@spekavino.cz</t>
  </si>
  <si>
    <r>
      <rPr>
        <rFont val="Roboto, sans-serif"/>
        <color rgb="FF1155CC"/>
        <u/>
      </rPr>
      <t>777 050 214</t>
    </r>
  </si>
  <si>
    <t>Dejvicka Winebar</t>
  </si>
  <si>
    <t>bar@dejvicka32.cz</t>
  </si>
  <si>
    <t>775 095 949</t>
  </si>
  <si>
    <t>Cafe Letka</t>
  </si>
  <si>
    <t>cafeletka@gmail.com</t>
  </si>
  <si>
    <t>Bockem</t>
  </si>
  <si>
    <t>restauracebockem@gmail.com</t>
  </si>
  <si>
    <t>Ristorante Casanova</t>
  </si>
  <si>
    <t>info@casanovarestaurant.net</t>
  </si>
  <si>
    <t>257 535 127</t>
  </si>
  <si>
    <t>Sova Restaurant</t>
  </si>
  <si>
    <t>reservation.sova@gmail.com</t>
  </si>
  <si>
    <t>El Gaucho dusni</t>
  </si>
  <si>
    <t>info.cz@elgaucho.eu</t>
  </si>
  <si>
    <t>Maitrea Restaurace</t>
  </si>
  <si>
    <t>info@restaurace-maitrea.cz</t>
  </si>
  <si>
    <t>Pot au Feu</t>
  </si>
  <si>
    <t>jan.kracik@post.cz</t>
  </si>
  <si>
    <t>La Casa Trattoria</t>
  </si>
  <si>
    <t>Samples</t>
  </si>
  <si>
    <t>After Tasting</t>
  </si>
  <si>
    <t>25/2 Chiamato x sapere samples. fanno sapere loro</t>
  </si>
  <si>
    <t>20/02 lasciato 1 primitivo + 1 pecorino + listino</t>
  </si>
  <si>
    <t>novemesto@lacasatrattoria.com</t>
  </si>
  <si>
    <t>Mamam Bistro</t>
  </si>
  <si>
    <t>Instagram</t>
  </si>
  <si>
    <t>1 Mail</t>
  </si>
  <si>
    <t>Mandato msg Instagram</t>
  </si>
  <si>
    <t>Vinárna Vínečko Zdeněk Susa</t>
  </si>
  <si>
    <t>Vineckopraha@seznam.cz</t>
  </si>
  <si>
    <t>Posto Italiano</t>
  </si>
  <si>
    <t>17/3 Ettore ha detto che i vini sono buoni, ma non li inserisce perchè a gli altri soci non oiacciono</t>
  </si>
  <si>
    <t>Non Hanno Risposto passare</t>
  </si>
  <si>
    <t>Sasazu</t>
  </si>
  <si>
    <t>In-person</t>
  </si>
  <si>
    <t>18/3 lasciato primitivo+montepulciano+pinot e listino. Ondrej dice che la fasca di prezzo è troppo bassa per loro. potrebbero usarla solo per eventi. Mi ha lasciato suo numero.</t>
  </si>
  <si>
    <t>lasciato 1 monte + 1 primitivo + listino a Juranji</t>
  </si>
  <si>
    <t>BioWeinReich</t>
  </si>
  <si>
    <t>De</t>
  </si>
  <si>
    <t>email non funziona</t>
  </si>
  <si>
    <t>nfo@bioweinreich.com</t>
  </si>
  <si>
    <t>Di Fonzo</t>
  </si>
  <si>
    <t>info@difonzo-import.de</t>
  </si>
  <si>
    <t>Wein wolf</t>
  </si>
  <si>
    <t>info@weinwolf.de</t>
  </si>
  <si>
    <t>La Cantina Italiana</t>
  </si>
  <si>
    <t>info@la-cantina-italiana.de</t>
  </si>
  <si>
    <t>Suffberlin</t>
  </si>
  <si>
    <t>suff@suffberlin.de</t>
  </si>
  <si>
    <t>weinbaum</t>
  </si>
  <si>
    <t>info@weinbaum.de</t>
  </si>
  <si>
    <t>Jacopini</t>
  </si>
  <si>
    <t>shop@jacopini-weinhandel.de</t>
  </si>
  <si>
    <t>Vinarium</t>
  </si>
  <si>
    <t>info@vinarium.de</t>
  </si>
  <si>
    <t>Vini e più</t>
  </si>
  <si>
    <t>shop@vini-epiu.de</t>
  </si>
  <si>
    <t>L'Aperitivo</t>
  </si>
  <si>
    <t>instagram</t>
  </si>
  <si>
    <t>19/3 lasciato primitivo + trebbiano + pinot - Galina</t>
  </si>
  <si>
    <t>aperitivo.bar@post.cz</t>
  </si>
  <si>
    <r>
      <rPr>
        <color rgb="FF1155CC"/>
        <u/>
      </rPr>
      <t>773 187 605</t>
    </r>
  </si>
  <si>
    <t>Intre</t>
  </si>
  <si>
    <t>18/3 ha preso un cartone di pecorino</t>
  </si>
  <si>
    <t>12/3 portare pecorino e trebbiano in prova</t>
  </si>
  <si>
    <t>info@intre.cz</t>
  </si>
  <si>
    <r>
      <rPr>
        <color rgb="FF1155CC"/>
        <u/>
      </rPr>
      <t>775 911 696</t>
    </r>
  </si>
  <si>
    <t>Sugo Pasta Bar</t>
  </si>
  <si>
    <t>info@sugopastabar.cz</t>
  </si>
  <si>
    <r>
      <rPr>
        <color rgb="FF1155CC"/>
        <u/>
      </rPr>
      <t>737 239 252</t>
    </r>
  </si>
  <si>
    <t>Reason Restaurant</t>
  </si>
  <si>
    <t>jan.pasen@reasonrestaurant.cz mi hanno dato mail del responsabile di sala</t>
  </si>
  <si>
    <t>connect@reasonrestaurant.cz</t>
  </si>
  <si>
    <t>Lvi Dvur</t>
  </si>
  <si>
    <t>rezervace@lvidvur.rest</t>
  </si>
  <si>
    <r>
      <rPr>
        <rFont val="Arial, sans-serif"/>
        <color rgb="FF1155CC"/>
        <sz val="11.0"/>
        <u/>
      </rPr>
      <t>733 747 008</t>
    </r>
  </si>
  <si>
    <t>Pizza Nuova</t>
  </si>
  <si>
    <t>pizzanuova@ambi.cz</t>
  </si>
  <si>
    <r>
      <rPr>
        <color rgb="FF1155CC"/>
        <u/>
      </rPr>
      <t>731 141 847</t>
    </r>
  </si>
  <si>
    <t>Pizzeria Kmotra</t>
  </si>
  <si>
    <t>Ha rispposto il 23/3 dicendo che hanno Harmonia Vini come fornitore e non vorrebbero cambiare. inviata ulteriore mail il 24/3</t>
  </si>
  <si>
    <t>probus@kmotra.cz</t>
  </si>
  <si>
    <r>
      <rPr>
        <color rgb="FF1155CC"/>
        <u/>
      </rPr>
      <t>724 234 603</t>
    </r>
  </si>
  <si>
    <t>San Carlo</t>
  </si>
  <si>
    <t>info@sancarlo.cz</t>
  </si>
  <si>
    <t>Nicolas Bar</t>
  </si>
  <si>
    <t>nicolasbarpraha@gmail.com</t>
  </si>
  <si>
    <r>
      <rPr>
        <color rgb="FF1155CC"/>
        <u/>
      </rPr>
      <t>257 225 423</t>
    </r>
  </si>
  <si>
    <t>Green Tomato</t>
  </si>
  <si>
    <t>green.tomato.pizzeria@gmail.com</t>
  </si>
  <si>
    <r>
      <rPr>
        <rFont val="Arial, sans-serif"/>
        <color rgb="FF1155CC"/>
        <sz val="11.0"/>
        <u/>
      </rPr>
      <t>224 232 271</t>
    </r>
  </si>
  <si>
    <t>Pizza Pasta Caffè</t>
  </si>
  <si>
    <t>marek23837@gmail.com</t>
  </si>
  <si>
    <r>
      <rPr>
        <color rgb="FF1155CC"/>
        <u/>
      </rPr>
      <t>739 854 474</t>
    </r>
  </si>
  <si>
    <t>Piccolo Mondo</t>
  </si>
  <si>
    <t>piccolo.mondo@seznam.cz</t>
  </si>
  <si>
    <r>
      <rPr>
        <color rgb="FF1155CC"/>
        <u/>
      </rPr>
      <t>777 289 970</t>
    </r>
  </si>
  <si>
    <t>Enoteca JZP</t>
  </si>
  <si>
    <t>Bar Ginger</t>
  </si>
  <si>
    <t>info.gingerprague@gmail.com</t>
  </si>
  <si>
    <r>
      <rPr>
        <color rgb="FF1155CC"/>
        <u/>
      </rPr>
      <t>775 152 093</t>
    </r>
  </si>
  <si>
    <t>Vino Klub</t>
  </si>
  <si>
    <t>info@vino-klub.cz</t>
  </si>
  <si>
    <r>
      <rPr>
        <color rgb="FF1155CC"/>
        <u/>
      </rPr>
      <t>724 239 045</t>
    </r>
  </si>
  <si>
    <t>Vinoteka Prosim</t>
  </si>
  <si>
    <t>milan.jurica@vinoprosim.cz lucie.fialkova@vinoprosim.cz</t>
  </si>
  <si>
    <t>The Sip</t>
  </si>
  <si>
    <t>Restaurace Osoleno</t>
  </si>
  <si>
    <t>info@restauraceosoleno.cz</t>
  </si>
  <si>
    <t>Wine Wine</t>
  </si>
  <si>
    <t>Boho wine &amp; bar</t>
  </si>
  <si>
    <t>31/1 ha risposto che dal 1 aprile arriva un responsabile nuovo per il vino ricontattare il 10/4</t>
  </si>
  <si>
    <t>info@boho.cz</t>
  </si>
  <si>
    <t>Narodni Kavarna</t>
  </si>
  <si>
    <t>narodnikavarnainfo@gmail.com</t>
  </si>
  <si>
    <r>
      <rPr>
        <color rgb="FF1155CC"/>
        <u/>
      </rPr>
      <t>773 824 585</t>
    </r>
  </si>
  <si>
    <t>Golemuv Restaurant</t>
  </si>
  <si>
    <t>annagold@email.cz</t>
  </si>
  <si>
    <r>
      <rPr>
        <color rgb="FF1155CC"/>
        <u/>
      </rPr>
      <t>777 079 445</t>
    </r>
  </si>
  <si>
    <t>Vinarna Naplavni</t>
  </si>
  <si>
    <t>ha detto che non interessa, ma se cambia idea chiama x degustazione</t>
  </si>
  <si>
    <t xml:space="preserve">rezervace@vinarna-naplavni.cz </t>
  </si>
  <si>
    <r>
      <rPr>
        <color rgb="FF1155CC"/>
        <u/>
      </rPr>
      <t>608 914 506</t>
    </r>
  </si>
  <si>
    <t>Route 54</t>
  </si>
  <si>
    <t>info@route54restaurant.cz</t>
  </si>
  <si>
    <r>
      <rPr>
        <color rgb="FF1155CC"/>
        <u/>
      </rPr>
      <t>222 332 811</t>
    </r>
  </si>
  <si>
    <t>Field Restaurant</t>
  </si>
  <si>
    <t>info@fieldrestaurant.cz</t>
  </si>
  <si>
    <r>
      <rPr>
        <color rgb="FF1155CC"/>
        <u/>
      </rPr>
      <t>725 170 583</t>
    </r>
  </si>
  <si>
    <t>Food Lab</t>
  </si>
  <si>
    <t>reservation@food-lab.cz</t>
  </si>
  <si>
    <r>
      <rPr>
        <rFont val="Arial, sans-serif"/>
        <color rgb="FF1155CC"/>
        <sz val="11.0"/>
        <u/>
      </rPr>
      <t>257 310 713</t>
    </r>
  </si>
  <si>
    <t>Farzival</t>
  </si>
  <si>
    <t>info@parzivalrestaurant.cz</t>
  </si>
  <si>
    <r>
      <rPr>
        <color rgb="FF1155CC"/>
        <u/>
      </rPr>
      <t>239 009 507</t>
    </r>
  </si>
  <si>
    <t>Sumi Garden</t>
  </si>
  <si>
    <t>info@sumigarden.com</t>
  </si>
  <si>
    <t>55 Bakery</t>
  </si>
  <si>
    <t>info@55bakery.cz</t>
  </si>
  <si>
    <t>Amiata</t>
  </si>
  <si>
    <t>dusan.huber@amiata.cz</t>
  </si>
  <si>
    <r>
      <rPr>
        <color rgb="FF1155CC"/>
        <u/>
      </rPr>
      <t>222 514 141</t>
    </r>
  </si>
  <si>
    <t>Diskoteca Pizza</t>
  </si>
  <si>
    <t xml:space="preserve">Better Than Classico </t>
  </si>
  <si>
    <t>fatta degustazione vini piaciuti. cambiano wine list a giugno</t>
  </si>
  <si>
    <t>Gron Bistro</t>
  </si>
  <si>
    <t>dominikpatha@gmail.com</t>
  </si>
  <si>
    <t xml:space="preserve">Type </t>
  </si>
  <si>
    <t xml:space="preserve">Language </t>
  </si>
  <si>
    <t xml:space="preserve">Zone </t>
  </si>
  <si>
    <t xml:space="preserve">Contact Channels </t>
  </si>
  <si>
    <t xml:space="preserve">Situation </t>
  </si>
  <si>
    <t xml:space="preserve">Status </t>
  </si>
  <si>
    <t xml:space="preserve">Priority </t>
  </si>
  <si>
    <t xml:space="preserve">Date Added </t>
  </si>
  <si>
    <t xml:space="preserve">Last Contact Date </t>
  </si>
  <si>
    <t xml:space="preserve"> Last Email Sent (text)</t>
  </si>
  <si>
    <t xml:space="preserve">Next Action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</si>
</sst>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[$€-2]\ #,##0.00"/>
    <numFmt numFmtId="166" formatCode="d/m"/>
  </numFmts>
  <fonts count="29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rgb="FF222222"/>
      <name val="&quot;Google Sans&quot;"/>
    </font>
    <font>
      <u/>
      <color rgb="FF0000FF"/>
    </font>
    <font/>
    <font>
      <u/>
      <color theme="1"/>
      <name val="Calibri"/>
      <scheme val="minor"/>
    </font>
    <font>
      <sz val="11.0"/>
      <color rgb="FF1F1F1F"/>
      <name val="Arial"/>
    </font>
    <font>
      <sz val="11.0"/>
      <color rgb="FF1F1F1F"/>
      <name val="&quot;Google Sans&quot;"/>
    </font>
    <font>
      <color rgb="FF1F1F1F"/>
      <name val="&quot;Google Sans&quot;"/>
    </font>
    <font>
      <sz val="11.0"/>
      <color rgb="FF1F1F1F"/>
      <name val="Calibri"/>
    </font>
    <font>
      <u/>
      <color rgb="FF0000FF"/>
    </font>
    <font>
      <u/>
      <sz val="11.0"/>
      <color rgb="FF0000FF"/>
      <name val="Arial"/>
    </font>
    <font>
      <sz val="11.0"/>
      <color rgb="FF000000"/>
      <name val="Arial"/>
    </font>
    <font>
      <sz val="11.0"/>
      <color rgb="FFFFFFFF"/>
      <name val="Lato"/>
    </font>
    <font>
      <sz val="11.0"/>
      <color rgb="FF212529"/>
      <name val="Roboto"/>
    </font>
    <font>
      <sz val="11.0"/>
      <color rgb="FF000000"/>
      <name val="Raleway"/>
    </font>
    <font>
      <sz val="11.0"/>
      <color rgb="FF8E8E8E"/>
      <name val="Raleway"/>
    </font>
    <font>
      <sz val="11.0"/>
      <color rgb="FF000000"/>
      <name val="Calibri"/>
      <scheme val="minor"/>
    </font>
    <font>
      <b/>
      <sz val="11.0"/>
      <color rgb="FFFFFFFF"/>
      <name val="Roboto"/>
    </font>
    <font>
      <u/>
      <color rgb="FF0000FF"/>
    </font>
    <font>
      <sz val="11.0"/>
      <color rgb="FFF5F5F6"/>
      <name val="Roboto"/>
    </font>
    <font>
      <sz val="13.0"/>
      <color rgb="FF2B3136"/>
      <name val="Outfit"/>
    </font>
    <font>
      <sz val="12.0"/>
      <color rgb="FFFFFFFF"/>
      <name val="Montserrat"/>
    </font>
    <font>
      <sz val="15.0"/>
      <color rgb="FF2A2A2A"/>
      <name val="Outfit"/>
    </font>
    <font>
      <u/>
      <sz val="11.0"/>
      <color rgb="FF1F1F1F"/>
      <name val="Arial"/>
    </font>
    <font>
      <sz val="11.0"/>
      <color rgb="FF202124"/>
      <name val="&quot;Google Sans&quot;"/>
    </font>
    <font>
      <u/>
      <color rgb="FF202124"/>
      <name val="&quot;Google Sans&quot;"/>
    </font>
    <font>
      <sz val="11.0"/>
      <color rgb="FF4D5156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231F20"/>
        <bgColor rgb="FF231F20"/>
      </patternFill>
    </fill>
    <fill>
      <patternFill patternType="solid">
        <fgColor rgb="FF9C8966"/>
        <bgColor rgb="FF9C8966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631A28"/>
        <bgColor rgb="FF631A28"/>
      </patternFill>
    </fill>
    <fill>
      <patternFill patternType="solid">
        <fgColor rgb="FF063F31"/>
        <bgColor rgb="FF063F31"/>
      </patternFill>
    </fill>
    <fill>
      <patternFill patternType="solid">
        <fgColor rgb="FF000000"/>
        <bgColor rgb="FF000000"/>
      </patternFill>
    </fill>
    <fill>
      <patternFill patternType="solid">
        <fgColor rgb="FFF9F6EF"/>
        <bgColor rgb="FFF9F6EF"/>
      </patternFill>
    </fill>
    <fill>
      <patternFill patternType="solid">
        <fgColor rgb="FFFFFF00"/>
        <bgColor rgb="FFFFFF0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64" xfId="0" applyBorder="1" applyFont="1" applyNumberFormat="1"/>
    <xf borderId="1" fillId="2" fontId="1" numFmtId="10" xfId="0" applyBorder="1" applyFont="1" applyNumberFormat="1"/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0" xfId="0" applyBorder="1" applyFont="1"/>
    <xf borderId="1" fillId="0" fontId="2" numFmtId="10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0" fontId="4" numFmtId="0" xfId="0" applyAlignment="1" applyBorder="1" applyFont="1">
      <alignment readingOrder="0"/>
    </xf>
    <xf borderId="2" fillId="3" fontId="3" numFmtId="0" xfId="0" applyAlignment="1" applyBorder="1" applyFont="1">
      <alignment readingOrder="0" vertical="top"/>
    </xf>
    <xf borderId="3" fillId="0" fontId="5" numFmtId="0" xfId="0" applyBorder="1" applyFont="1"/>
    <xf borderId="1" fillId="0" fontId="2" numFmtId="164" xfId="0" applyBorder="1" applyFont="1" applyNumberFormat="1"/>
    <xf borderId="0" fillId="0" fontId="2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3" fontId="8" numFmtId="0" xfId="0" applyAlignment="1" applyFont="1">
      <alignment readingOrder="0"/>
    </xf>
    <xf borderId="0" fillId="3" fontId="9" numFmtId="0" xfId="0" applyAlignment="1" applyFont="1">
      <alignment horizontal="left" readingOrder="0"/>
    </xf>
    <xf borderId="1" fillId="0" fontId="2" numFmtId="10" xfId="0" applyBorder="1" applyFont="1" applyNumberFormat="1"/>
    <xf borderId="0" fillId="3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4" fontId="12" numFmtId="0" xfId="0" applyAlignment="1" applyFill="1" applyFont="1">
      <alignment horizontal="center" readingOrder="0"/>
    </xf>
    <xf borderId="0" fillId="0" fontId="13" numFmtId="0" xfId="0" applyAlignment="1" applyFont="1">
      <alignment horizontal="left" readingOrder="0"/>
    </xf>
    <xf borderId="0" fillId="5" fontId="14" numFmtId="0" xfId="0" applyAlignment="1" applyFill="1" applyFont="1">
      <alignment readingOrder="0"/>
    </xf>
    <xf borderId="0" fillId="3" fontId="15" numFmtId="0" xfId="0" applyAlignment="1" applyFont="1">
      <alignment horizontal="left" readingOrder="0"/>
    </xf>
    <xf borderId="0" fillId="3" fontId="16" numFmtId="0" xfId="0" applyAlignment="1" applyFont="1">
      <alignment horizontal="left" readingOrder="0"/>
    </xf>
    <xf borderId="0" fillId="3" fontId="17" numFmtId="0" xfId="0" applyAlignment="1" applyFont="1">
      <alignment horizontal="left" readingOrder="0"/>
    </xf>
    <xf borderId="1" fillId="0" fontId="2" numFmtId="166" xfId="0" applyAlignment="1" applyBorder="1" applyFont="1" applyNumberFormat="1">
      <alignment readingOrder="0"/>
    </xf>
    <xf borderId="0" fillId="3" fontId="7" numFmtId="0" xfId="0" applyAlignment="1" applyFont="1">
      <alignment readingOrder="0"/>
    </xf>
    <xf borderId="0" fillId="6" fontId="18" numFmtId="0" xfId="0" applyAlignment="1" applyFill="1" applyFont="1">
      <alignment readingOrder="0"/>
    </xf>
    <xf borderId="1" fillId="7" fontId="2" numFmtId="0" xfId="0" applyAlignment="1" applyBorder="1" applyFill="1" applyFont="1">
      <alignment readingOrder="0"/>
    </xf>
    <xf borderId="0" fillId="8" fontId="19" numFmtId="0" xfId="0" applyAlignment="1" applyFill="1" applyFont="1">
      <alignment readingOrder="0"/>
    </xf>
    <xf borderId="0" fillId="0" fontId="20" numFmtId="0" xfId="0" applyAlignment="1" applyFont="1">
      <alignment readingOrder="0"/>
    </xf>
    <xf borderId="0" fillId="9" fontId="21" numFmtId="0" xfId="0" applyAlignment="1" applyFill="1" applyFont="1">
      <alignment horizontal="center" readingOrder="0"/>
    </xf>
    <xf borderId="0" fillId="3" fontId="22" numFmtId="0" xfId="0" applyAlignment="1" applyFont="1">
      <alignment readingOrder="0"/>
    </xf>
    <xf borderId="0" fillId="10" fontId="23" numFmtId="0" xfId="0" applyAlignment="1" applyFill="1" applyFont="1">
      <alignment readingOrder="0"/>
    </xf>
    <xf borderId="0" fillId="11" fontId="24" numFmtId="0" xfId="0" applyAlignment="1" applyFill="1" applyFont="1">
      <alignment horizontal="left" readingOrder="0"/>
    </xf>
    <xf borderId="0" fillId="3" fontId="25" numFmtId="0" xfId="0" applyAlignment="1" applyFont="1">
      <alignment readingOrder="0"/>
    </xf>
    <xf borderId="0" fillId="0" fontId="26" numFmtId="0" xfId="0" applyAlignment="1" applyFont="1">
      <alignment readingOrder="0" shrinkToFit="0" wrapText="0"/>
    </xf>
    <xf borderId="0" fillId="0" fontId="27" numFmtId="0" xfId="0" applyAlignment="1" applyFont="1">
      <alignment readingOrder="0" shrinkToFit="0" wrapText="0"/>
    </xf>
    <xf borderId="1" fillId="12" fontId="2" numFmtId="0" xfId="0" applyAlignment="1" applyBorder="1" applyFill="1" applyFont="1">
      <alignment readingOrder="0"/>
    </xf>
    <xf borderId="0" fillId="3" fontId="28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2" numFmtId="164" xfId="0" applyFont="1" applyNumberFormat="1"/>
    <xf borderId="0" fillId="0" fontId="2" numFmtId="10" xfId="0" applyFont="1" applyNumberFormat="1"/>
    <xf borderId="0" fillId="0" fontId="2" numFmtId="166" xfId="0" applyFont="1" applyNumberFormat="1"/>
    <xf borderId="0" fillId="3" fontId="3" numFmtId="0" xfId="0" applyAlignment="1" applyFont="1">
      <alignment readingOrder="0" vertical="top"/>
    </xf>
    <xf borderId="1" fillId="0" fontId="2" numFmtId="166" xfId="0" applyBorder="1" applyFont="1" applyNumberForma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info@sancarlo.cz" TargetMode="External"/><Relationship Id="rId22" Type="http://schemas.openxmlformats.org/officeDocument/2006/relationships/hyperlink" Target="https://www.google.com/search?q=green+tomato+prague&amp;sca_esv=0546383d171bc4a7&amp;biw=1280&amp;bih=551&amp;sxsrf=ANbL-n4bVRbLEXwj7eBp05F6fErmUwmRdg%3A1773235822368&amp;ei=bm6xaYiUFt2E7NYPofStqQ0&amp;ved=0ahUKEwiIg66a-peTAxVdAtsEHSF6K9UQ4dUDCBE&amp;uact=5&amp;oq=green+tomato+prague&amp;gs_lp=Egxnd3Mtd2l6LXNlcnAiE2dyZWVuIHRvbWF0byBwcmFndWUyERAuGIAEGMsBGMcBGK8BGI4FMgYQABgHGB4yBhAAGAcYHjIEEAAYHjIFEAAY7wUyBRAAGO8FMiAQLhiABBjLARjHARivARiOBRiXBRjcBBjeBBjgBNgBAUjXeVArWLl2cAF4AJABAJgBV6ABtAeqAQIxM7gBA8gBAPgBAZgCDaACqwfCAgkQABgeGA0YsAPCAggQABjvBRiwA8ICBxAAGB4YsAPCAgsQABiABBiiBBiwA8ICCBAAGAcYHhgKwgIIEAAYBxgeGBPCAgkQABiABBgNGBPCAgoQABgHGB4YExgKwgIIEAAYgAQYogTCAhIQLhiABBgNGBMYxwEYrwEYjgXCAiEQLhiABBgNGBMYxwEYrwEYjgUYlwUY3AQY3gQY4ATYAQGYAwDiAwUSATEgQIgGAZAGBroGBggBEAEYFJIHAjEzoAeaSrIHAjEyuAelB8IHBDItMTPIBzaACAE&amp;sclient=gws-wiz-serp" TargetMode="External"/><Relationship Id="rId21" Type="http://schemas.openxmlformats.org/officeDocument/2006/relationships/hyperlink" Target="https://www.google.com/search?q=nicolad+bar+prague&amp;sca_esv=76a18ee69d7f7d9a&amp;biw=1280&amp;bih=551&amp;sxsrf=ANbL-n5hoFPozO3oFSfQ_FMYzYHABvhCdw%3A1773235174025&amp;ei=5muxadOhAeP-7_UPgLuciQ8&amp;ved=0ahUKEwjTrJrl95eTAxVj_7sIHYAdJ_EQ4dUDCBE&amp;uact=5&amp;oq=nicolad+bar+prague&amp;gs_lp=Egxnd3Mtd2l6LXNlcnAiEm5pY29sYWQgYmFyIHByYWd1ZTISEC4YgAQYDRgTGMcBGK8BGI4FMgoQABgIGB4YDRgTMgUQABjvBTIhEC4YgAQYDRgTGMcBGK8BGI4FGJcFGNwEGN4EGOAE2AEBSLIwUABYrS5wAHgAkAEAmAF4oAHlB6oBBDEwLjK4AQPIAQD4AQGYAgygAqoIwgIHECMYsAIYJ8ICBhAAGAcYHsICDRAuGIAEGA0YxwEYrwHCAgcQABiABBgNwgIHEC4YgAQYDcICCBAAGAcYHhgTwgIKEAAYBxgeGBMYCsICCRAAGIAEGA0YE8ICChAAGAUYHhgNGBPCAgwQABgFGB4YDRgTGAqYAwC6BgYIARABGBSSBwM5LjOgB49TsgcDOS4zuAeqCMIHBzAuMi43LjPIBz-ACAE&amp;sclient=gws-wiz-serp" TargetMode="External"/><Relationship Id="rId24" Type="http://schemas.openxmlformats.org/officeDocument/2006/relationships/hyperlink" Target="https://www.google.com/search?q=piccolo+mondo+praha&amp;sca_esv=0546383d171bc4a7&amp;biw=1280&amp;bih=551&amp;sxsrf=ANbL-n62aRl6qbNN2UCwvm-0UqQgx659yQ%3A1773236496562&amp;ei=EHGxadD9IY2Jxc8P25nXkAM&amp;ved=0ahUKEwjQxevb_JeTAxWNRPEDHdvMFTIQ4dUDCBE&amp;uact=5&amp;oq=piccolo+mondo+praha&amp;gs_lp=Egxnd3Mtd2l6LXNlcnAiE3BpY2NvbG8gbW9uZG8gcHJhaGEyBhAAGB4YDTIEEAAYHjIEEAAYHjIGEAAYBRgeMggQABgFGB4YDTIIEAAYBRgeGA0yBhAAGAUYHjIGEAAYBRgeMgUQABjvBTIFEAAY7wVIhhVQAFj3EnAAeACQAQCYAVWgAZoHqgECMTO4AQPIAQD4AQGYAg2gAuEHwgIGEAAYBxgewgIJEAAYgAQYDRgTwgIIEAAYBxgeGBPCAgoQABgHGB4YExgKwgIIEAAYBRgHGB7CAggQABiABBiiBJgDAJIHAjEzoAexVLIHAjEzuAfhB8IHBDItMTPIB0GACAE&amp;sclient=gws-wiz-serp" TargetMode="External"/><Relationship Id="rId23" Type="http://schemas.openxmlformats.org/officeDocument/2006/relationships/hyperlink" Target="https://www.google.com/search?q=pizza+pasta+caff%C3%A8+Prague&amp;sca_esv=0546383d171bc4a7&amp;biw=1280&amp;bih=551&amp;sxsrf=ANbL-n4UfM0SKx1UxFmM886OR72sCnTISA%3A1773236092464&amp;ei=fG-xaZeHHJ-L9u8P7afTyAo&amp;ved=0ahUKEwiXtZOb-5eTAxWfhf0HHe3TFKkQ4dUDCBE&amp;uact=5&amp;oq=pizza+pasta+caff%C3%A8+Prague&amp;gs_lp=Egxnd3Mtd2l6LXNlcnAiGXBpenphIHBhc3RhIGNhZmbDqCBQcmFndWUyCRAAGIAEGA0YEzIFEAAY7wUyBRAAGO8FMgUQABjvBUjtIFAAWOMccAB4AJABAJgBT6AB-wiqAQIxN7gBA8gBAPgBAZgCEaACyAnCAgYQABgHGB7CAggQABgHGB4YE8ICCBAAGIAEGMsBwgIIEAAYBxgeGArCAggQABgIGAcYHsICBhAAGB4YDcICBhAAGAUYHsICChAAGAUYHhgNGAqYAwCSBwIxN6AHkFiyBwIxN7gHyAnCBwYwLjUuMTLIB0aACAE&amp;sclient=gws-wiz-serp" TargetMode="External"/><Relationship Id="rId1" Type="http://schemas.openxmlformats.org/officeDocument/2006/relationships/hyperlink" Target="http://italskevino.cz/" TargetMode="External"/><Relationship Id="rId2" Type="http://schemas.openxmlformats.org/officeDocument/2006/relationships/hyperlink" Target="http://italvino.cz/" TargetMode="External"/><Relationship Id="rId3" Type="http://schemas.openxmlformats.org/officeDocument/2006/relationships/hyperlink" Target="mailto:mensa.prague@gmail.com" TargetMode="External"/><Relationship Id="rId4" Type="http://schemas.openxmlformats.org/officeDocument/2006/relationships/hyperlink" Target="http://winebar.cz/" TargetMode="External"/><Relationship Id="rId9" Type="http://schemas.openxmlformats.org/officeDocument/2006/relationships/hyperlink" Target="https://www.google.com/search?q=w+restaurant+praha&amp;sca_esv=f29ca39476e4bd13&amp;hl=it&amp;sxsrf=ANbL-n4CfgN16dw9UMnqkTZFxDspsJM9nw%3A1769516278495&amp;source=hp&amp;ei=9qx4afbTG7Tp7_UPitTuwQY&amp;iflsig=AFdpzrgAAAAAaXi7BiDJKBWtwAKjdTVeG24Uc9EDBNRu&amp;ved=0ahUKEwj2ps7p2auSAxW09LsIHQqqO2gQ4dUDCB4&amp;uact=5&amp;oq=w+restaurant+praha&amp;gs_lp=Egdnd3Mtd2l6IhJ3IHJlc3RhdXJhbnQgcHJhaGEyBBAjGCcyChAAGIAEGMsBGAoyBhAAGBYYHjIGEAAYFhgeMgYQABgWGB4yBhAAGBYYHjIGEAAYFhgeMgYQABgWGB4yBhAAGBYYHjIGEAAYFhgeSMQ1UABYqDRwBHgAkAEAmAHIAaABmBCqAQYxOS4yLjG4AQPIAQD4AQGYAhqgAt4RwgIKECMYgAQYigUYJ8ICDhAuGIAEGMcBGK8BGI4FwgILEC4YgAQYxwEY0QPCAgUQABiABMICCxAuGIAEGMcBGK8BwgIZEC4YgAQYigUYQxjHARivARiYBRieBRiZBcICDhAuGK8BGMcBGIAEGI4FwgIKEAAYgAQYigUYQ8ICExAuGEMYrwEYxwEYgAQYigUYjgXCAgUQLhiABMICERAuGK8BGMcBGMsBGIAEGI4FwgIIEAAYgAQYywHCAg4QLhivARjHARjLARiABMICCxAAGIAEGMsBGMkDwgIHECMYsAIYJ8ICEBAuGA0YrwEYxwEYgAQYjgXCAgcQABiABBgNwgIGEAAYHhgNwgIFECEYoAGYAwCSBwYyMS4zLjKgB6nZAbIHBjE3LjMuMrgHtRHCBwgwLjIuMjAuNMgHjwGACAE&amp;sclient=gws-wiz" TargetMode="External"/><Relationship Id="rId26" Type="http://schemas.openxmlformats.org/officeDocument/2006/relationships/hyperlink" Target="https://www.google.com/search?q=bar+ginger+praha&amp;sca_esv=835c64f8191b445a&amp;biw=1280&amp;bih=551&amp;sxsrf=ANbL-n67hB9CXc2nXSeRu1b57aNaVZMrOw%3A1773308812116&amp;ei=jIuyaenUBuqJ7NYPuLn0qAk&amp;ved=0ahUKEwjpysqOipqTAxXqBNsEHbgcHZUQ4dUDCBE&amp;uact=5&amp;oq=bar+ginger+praha&amp;gs_lp=Egxnd3Mtd2l6LXNlcnAiEGJhciBnaW5nZXIgcHJhaGEyBBAAGB4yBRAAGO8FMggQABiABBiiBDIFEAAY7wVIkyVQ4AlY9SJwAngBkAEAmAFpoAH6B6oBAzkuMrgBA8gBAPgBAZgCDKAC1AfCAgoQABiwAxjWBBhHwgIGEAAYBxgewgIIEAAYExgHGB7CAgkQABiABBgTGA3CAggQABiABBjLAcICCBAAGAcYChgewgIIEAAYBxgIGB6YAwCIBgGQBgiSBwM3LjWgB4owsgcDNS41uAfJB8IHBzAuNC42LjLIBzuACAA&amp;sclient=gws-wiz-serp" TargetMode="External"/><Relationship Id="rId25" Type="http://schemas.openxmlformats.org/officeDocument/2006/relationships/hyperlink" Target="mailto:info.gingerprague@gmail.com" TargetMode="External"/><Relationship Id="rId28" Type="http://schemas.openxmlformats.org/officeDocument/2006/relationships/hyperlink" Target="https://www.google.com/search?q=vino+klub+praha&amp;sca_esv=835c64f8191b445a&amp;biw=1280&amp;bih=551&amp;sxsrf=ANbL-n6vnmZhZFnzfgq3A7WbqSX0gHKEKg%3A1773309124905&amp;ei=xIyyab7nNsCJxc8P5c2SgAU&amp;ved=0ahUKEwi-2d2ji5qTAxXARPEDHeWmBFAQ4dUDCBE&amp;uact=5&amp;oq=vino+klub+praha&amp;gs_lp=Egxnd3Mtd2l6LXNlcnAiD3Zpbm8ga2x1YiBwcmFoYTIEEAAYHjIFEAAY7wUyBRAAGO8FMggQABiABBiiBDIFEAAY7wUyBRAAGO8FSIopUABYjSVwAHgAkAEAmAFtoAHNB6oBAzcuNLgBA8gBAPgBAZgCC6ACjAjCAgYQABgHGB7CAggQABgHGAoYHsICCBAAGIAEGMsBwgIIEC4YgAQYywHCAggQABgHGAgYHpgDAJIHAzcuNKAH0DqyBwM3LjS4B4wIwgcHMC4yLjcuMsgHOoAIAA&amp;sclient=gws-wiz-serp" TargetMode="External"/><Relationship Id="rId27" Type="http://schemas.openxmlformats.org/officeDocument/2006/relationships/hyperlink" Target="mailto:info@vino-klub.cz" TargetMode="External"/><Relationship Id="rId5" Type="http://schemas.openxmlformats.org/officeDocument/2006/relationships/hyperlink" Target="mailto:pizzavinohrady@gmail.com" TargetMode="External"/><Relationship Id="rId6" Type="http://schemas.openxmlformats.org/officeDocument/2006/relationships/hyperlink" Target="https://www.google.com/search?q=ambiente+pasta+fresca+praga&amp;oq=ambiente+pasta+fres&amp;gs_lcrp=EgZjaHJvbWUqBwgAEAAYgAQyBwgAEAAYgAQyBggBEEUYOTIICAIQABgWGB4yCAgDEAAYFhgeMgcIBBAAGO8F0gEIOTI3N2owajeoAgCwAgA&amp;sourceid=chrome&amp;ie=UTF-8" TargetMode="External"/><Relationship Id="rId29" Type="http://schemas.openxmlformats.org/officeDocument/2006/relationships/hyperlink" Target="https://www.google.com/search?q=narodni+kavarna+praha&amp;sca_esv=9e2784469eca2aa9&amp;sxsrf=ANbL-n7jgBySEWPS_3tGAbKqqfy5GhmyFQ%3A1773741356464&amp;ei=LCW5af79G5uA9u8Pz6fbiQs&amp;biw=1280&amp;bih=551&amp;ved=0ahUKEwj-w-a71aaTAxUbgP0HHc_TNrEQ4dUDCBE&amp;uact=5&amp;oq=narodni+kavarna+praha&amp;gs_lp=Egxnd3Mtd2l6LXNlcnAiFW5hcm9kbmkga2F2YXJuYSBwcmFoYTIEEAAYHjIGEAAYCBgeMgYQABgIGB4yBRAAGO8FMgUQABjvBTIFEAAY7wUyBRAAGO8FSKggUABYkRlwAHgBkAEAmAG9AaABjQyqAQM4Lje4AQPIAQD4AQGYAg2gAq4KwgIGEAAYBxgewgIIEAAYBxgKGB7CAggQABgTGAcYHsICCRAAGIAEGBMYDcICCBAAGAcYCBgemAMAkgcDNy42oAeUV7IHAzcuNrgHrgrCBwcwLjEuOC40yAdPgAgA&amp;sclient=gws-wiz-serp" TargetMode="External"/><Relationship Id="rId7" Type="http://schemas.openxmlformats.org/officeDocument/2006/relationships/hyperlink" Target="https://www.google.com/search?q=vin+de+marie+praha&amp;oq=vin+de+marie+praha&amp;gs_lcrp=EgZjaHJvbWUyBggAEEUYOTIICAEQABgWGB4yCAgCEAAYFhgeMgcIAxAAGO8FMgcIBBAAGO8FMgcIBRAAGO8FMgcIBhAAGO8FMgoIBxAAGIAEGKIE0gEIMzcwMWowajSoAgCwAgE&amp;sourceid=chrome&amp;ie=UTF-8" TargetMode="External"/><Relationship Id="rId8" Type="http://schemas.openxmlformats.org/officeDocument/2006/relationships/hyperlink" Target="mailto:reservations@wrestaurant.cz" TargetMode="External"/><Relationship Id="rId31" Type="http://schemas.openxmlformats.org/officeDocument/2006/relationships/hyperlink" Target="https://www.google.com/search?q=golemuv+restaurant+praha&amp;sca_esv=9e2784469eca2aa9&amp;biw=1280&amp;bih=551&amp;sxsrf=ANbL-n4F-X98fVohCQklKqEBdyKwjvv69g%3A1773742598354&amp;ei=Biq5aaWlFeSG9u8P1ty-sQI&amp;oq=golemuv++praha&amp;gs_lp=Egxnd3Mtd2l6LXNlcnAiDmdvbGVtdXYgIHByYWhhKgIIADIGEAAYBxgeMgUQABjvBTIFEAAY7wUyBRAAGO8FMggQABiABBiiBEjOFlAAWKQOcAB4AJABAJgBcaAB6QWqAQM0LjS4AQPIAQD4AQGYAgigAqQGwgIIEAAYBxgKGB7CAggQABgTGAcYHsICCRAAGIAEGBMYDcICCBAAGBMYDRgewgIKEAAYExgFGA0YHpgDAJIHAzQuNKAHkiiyBwM0LjS4B6QGwgcFMi03LjHIByuACAA&amp;sclient=gws-wiz-serp" TargetMode="External"/><Relationship Id="rId30" Type="http://schemas.openxmlformats.org/officeDocument/2006/relationships/hyperlink" Target="mailto:annagold@email.cz" TargetMode="External"/><Relationship Id="rId11" Type="http://schemas.openxmlformats.org/officeDocument/2006/relationships/hyperlink" Target="mailto:info@difonzo-import.de" TargetMode="External"/><Relationship Id="rId33" Type="http://schemas.openxmlformats.org/officeDocument/2006/relationships/hyperlink" Target="https://www.google.com/search?q=Route+54+praha&amp;sca_esv=ab7f61c36d6d1228&amp;biw=1280&amp;bih=551&amp;sxsrf=ANbL-n4ULJXG2z3AuIRsOKpv2NJG33QPtQ%3A1774603312840&amp;ei=MEzGadn8MoSN9u8PjYGwmAk&amp;ved=0ahUKEwjZ1NDA4L-TAxWEhv0HHY0ADJMQ4dUDCBE&amp;uact=5&amp;oq=Route+54+praha&amp;gs_lp=Egxnd3Mtd2l6LXNlcnAiDlJvdXRlIDU0IHByYWhhMggQIRigARjDBEjUA1AAWABwAHgBkAEAmAF0oAF0qgEDMC4xuAEDyAEA-AEC-AEBmAIBoAKCAZgDAJIHAzAuMaAHbrIHAzAuMbgHggHCBwMyLTHIBwaACAE&amp;sclient=gws-wiz-serp" TargetMode="External"/><Relationship Id="rId10" Type="http://schemas.openxmlformats.org/officeDocument/2006/relationships/hyperlink" Target="mailto:lucie@vinobona-chefstable.cz" TargetMode="External"/><Relationship Id="rId32" Type="http://schemas.openxmlformats.org/officeDocument/2006/relationships/hyperlink" Target="https://www.google.com/search?q=vinarna+naplavni+praha&amp;sca_esv=9e2784469eca2aa9&amp;biw=1280&amp;bih=551&amp;sxsrf=ANbL-n6QYxbSgiyqMfBy_rzyDayprYIUtw%3A1773743026236&amp;ei=siu5aZCFDvuN9u8P6tqRmQs&amp;ved=0ahUKEwiQpoHY26aTAxX7hv0HHWptJLMQ4dUDCBE&amp;uact=5&amp;oq=vinarna+naplavni+praha&amp;gs_lp=Egxnd3Mtd2l6LXNlcnAiFnZpbmFybmEgbmFwbGF2bmkgcHJhaGEyCBAhGKABGMMEMggQIRigARjDBEjyJ1AAWMgacAB4AZABAJgBxgGgAfQNqgEENi4xMLgBA8gBAPgBAZgCEKACqg_CAgYQABgHGB7CAggQABgHGAoYHsICCBAAGBMYBxgewgIIEAAYgAQYywHCAgoQABgHGAgYChgewgIIEAAYBxgIGB7CAgUQABjvBcICChAhGKABGMMEGAqYAwCSBwYyLjEzLjGgB89MsgcGMi4xMy4xuAeqD8IHBTItOC44yAd8gAgA&amp;sclient=gws-wiz-serp" TargetMode="External"/><Relationship Id="rId13" Type="http://schemas.openxmlformats.org/officeDocument/2006/relationships/hyperlink" Target="https://www.google.com/search?q=intre+praha&amp;oq=intre+praha&amp;gs_lcrp=EgZjaHJvbWUyBggAEEUYOTIKCAEQABgKGA0YHjIICAIQABgNGB4yCAgDEAAYDRgeMggIBBAAGBYYHjIICAUQABgWGB4yDAgGEAAYBRgKGA0YHjIKCAcQABgFGA0YHjIKCAgQABgIGA0YHjIKCAkQABgIGA0YHtIBCDIwNjhqMGo3qAIAsAIA&amp;sourceid=chrome&amp;ie=UTF-8" TargetMode="External"/><Relationship Id="rId35" Type="http://schemas.openxmlformats.org/officeDocument/2006/relationships/hyperlink" Target="https://www.google.com/search?q=food+lab+Praha&amp;sca_esv=ab7f61c36d6d1228&amp;biw=1280&amp;bih=551&amp;sxsrf=ANbL-n5C2LOkOaFqRXUA7wNM6aL39fJJog%3A1774605760662&amp;ei=wFXGaYuIKMGM9u8PqtXp2Qk&amp;ved=0ahUKEwiL6OvP6b-TAxVBhv0HHapqOpsQ4dUDCBE&amp;uact=5&amp;oq=food+lab+Praha&amp;gs_lp=Egxnd3Mtd2l6LXNlcnAiDmZvb2QgbGFiIFByYWhhMhEQLhiABBjLARjHARivARiOBTIGEAAYBxgeMggQABiABBjLATIGEAAYBxgeMgYQABgHGB4yBhAAGAcYHjIGEAAYBxgeMggQABiABBjLATIIEAAYgAQYywEyBBAAGB4yIBAuGIAEGMsBGMcBGK8BGI4FGJcFGNwEGN4EGOAE2AEBSM8NUABY2AtwAHgBkAEAmAFWoAHlBKoBATi4AQPIAQD4AQGYAgigAqcFwgIIEAAYBxgeGArCAg0QLhiABBgNGMcBGK8BmAMAugYGCAEQARgUkgcBOKAHwjeyBwE4uAenBcIHBTItNS4zyAc1gAgB&amp;sclient=gws-wiz-serp" TargetMode="External"/><Relationship Id="rId12" Type="http://schemas.openxmlformats.org/officeDocument/2006/relationships/hyperlink" Target="https://www.google.com/search?q=l%27aperitivo+praha&amp;oq=l%27aperitivo+praha&amp;gs_lcrp=EgZjaHJvbWUyBggAEEUYOTIHCAEQIRigATIHCAIQIRigATIHCAMQIRigAdIBCDUzMzRqMGo0qAIAsAIB&amp;sourceid=chrome&amp;ie=UTF-8" TargetMode="External"/><Relationship Id="rId34" Type="http://schemas.openxmlformats.org/officeDocument/2006/relationships/hyperlink" Target="https://www.google.com/search?q=Field+Restaurant+praha&amp;sca_esv=ab7f61c36d6d1228&amp;biw=1280&amp;bih=551&amp;sxsrf=ANbL-n71oJooa2jnrb-9mSkMhiSsi_WXSg%3A1774603360009&amp;ei=YEzGaY4izYj27w-O_oGRCw&amp;ved=0ahUKEwiO0o_X4L-TAxVNhP0HHQ5_ILIQ4dUDCBE&amp;uact=5&amp;oq=Field+Restaurant+praha&amp;gs_lp=Egxnd3Mtd2l6LXNlcnAiFkZpZWxkIFJlc3RhdXJhbnQgcHJhaGEyBBAjGCcyBxAAGIAEGA0yBhAAGB4YCjIGEAAYBRgeMgYQABgHGB4yBRAAGO8FMggQABiABBiiBDIIEAAYgAQYogQyCBAAGIAEGKIESIwJUABYAHAAeAGQAQCYAWKgAWKqAQExuAEDyAEA-AEC-AEBmAIBoAJpmAMAkgcDMC4xoAfFBrIHAzAuMbgHacIHAzItMcgHBIAIAQ&amp;sclient=gws-wiz-serp" TargetMode="External"/><Relationship Id="rId15" Type="http://schemas.openxmlformats.org/officeDocument/2006/relationships/hyperlink" Target="https://www.google.com/search?q=pasta+bar+sugo+praha&amp;sca_esv=76a18ee69d7f7d9a&amp;sxsrf=ANbL-n76eXR8b4o76kO8sw3Rsv3LMxaB0g%3A1773224969099&amp;ei=CUSxadbiBfeJ7NYPm8_GkA8&amp;ved=0ahUKEwiWi4_j0ZeTAxX3BNsEHZunEfIQ4dUDCBE&amp;uact=5&amp;oq=pasta+bar+sugo+praha&amp;gs_lp=Egxnd3Mtd2l6LXNlcnAiFHBhc3RhIGJhciBzdWdvIHByYWhhMgYQABgIGB4yBhAAGAgYHjIFEAAY7wUyBRAAGO8FMgUQABjvBTIFEAAY7wUyBRAAGO8FSOsfUN0GWOAdcAJ4AJABAJgBWqABiQmqAQIxNrgBA8gBAPgBAZgCEaACiAnCAgoQABhHGNYEGLADwgIGEAAYBxgewgIHEC4YgAQYDcICCBAAGAcYHhgKwgIIEAAYBxgeGBPCAgkQABiABBgNGBPCAgsQABiABBgNGBMYCsICChAAGAUYBxgeGBPCAgoQABgIGAcYHhgTwgIMEAAYCBgHGB4YExgKwgIIEAAYHhgNGBPCAggQABgIGAcYHsICCBAAGAUYBxgewgIEEAAYHsICBhAAGAUYHsICCBAAGIAEGKIEmAMAiAYBkAYIkgcCMTegB5lNsgcCMTW4B_oIwgcGMC40LjEzyAdDgAgB&amp;sclient=gws-wiz-serp" TargetMode="External"/><Relationship Id="rId37" Type="http://schemas.openxmlformats.org/officeDocument/2006/relationships/hyperlink" Target="https://www.google.com/search?q=Amiata+La+Cucina+Toscana+praha&amp;sca_esv=fae05fabdbc03926&amp;biw=1280&amp;bih=551&amp;sxsrf=ANbL-n5ZyexvN20piNTjK7sHY6yBlQfZvA%3A1775899065543&amp;ei=uRHaacXsILON9u8Pr6Tq0AY&amp;ved=0ahUKEwiFrdXHu-WTAxWzhv0HHS-SGmoQ4dUDCBE&amp;uact=5&amp;oq=Amiata+La+Cucina+Toscana+praha&amp;gs_lp=Egxnd3Mtd2l6LXNlcnAiHkFtaWF0YSBMYSBDdWNpbmEgVG9zY2FuYSBwcmFoYTIKECEYChigARjDBDIKECEYChigARjDBEiZC1AAWABwAHgAkAEAmAHNAaABzQGqAQMyLTG4AQPIAQD4AQL4AQGYAgGgAtkBmAMAkgcDMi0xoAeOA7IHAzItMbgH2QHCBwMyLTHIBwWACAE&amp;sclient=gws-wiz-serp" TargetMode="External"/><Relationship Id="rId14" Type="http://schemas.openxmlformats.org/officeDocument/2006/relationships/hyperlink" Target="mailto:info@sugopastabar.cz" TargetMode="External"/><Relationship Id="rId36" Type="http://schemas.openxmlformats.org/officeDocument/2006/relationships/hyperlink" Target="https://www.google.com/search?q=Parzival+Praha&amp;sca_esv=ab7f61c36d6d1228&amp;biw=1280&amp;bih=551&amp;sxsrf=ANbL-n7jgHQ4N1llaj57xm8LGyLuo10AbQ%3A1774606293248&amp;ei=1VfGab7rDv6N9u8Pioyc8Qk&amp;ved=0ahUKEwj-qebN67-TAxX-hv0HHQoGJ54Q4dUDCBE&amp;uact=5&amp;oq=Parzival+Praha&amp;gs_lp=Egxnd3Mtd2l6LXNlcnAiDlBhcnppdmFsIFByYWhhMgYQABgHGB4yERAuGIAEGMsBGMcBGK8BGI4FMgYQABgHGB4yCBAAGIAEGKIEMgUQABjvBTIFEAAY7wUyBRAAGO8FSOEPUJ8KWLQMcAJ4AZABAJgBcKABvAGqAQMxLjG4AQPIAQD4AQL4AQGYAgSgAt4BwgIKEAAYRxjWBBiwA8ICDRAAGIAEGIoFGEMYsAPCAhwQLhiABBiKBRhDGMcBGK8BGMgDGLADGI4F2AEBwgIZEC4YgAQYigUYQxjHARivARjIAxiwA9gBAcICEhAuGIAEGA0YExjHARivARiOBcICCBAAGAcYHhgTwgIhEC4YgAQYDRgTGMcBGK8BGI4FGJcFGNwEGN4EGOAE2AEBmAMAiAYBkAYOugYGCAEQARgIkgcDMy4xoAe1D7IHAzEuMbgHyQHCBwUyLTMuMcgHG4AIAQ&amp;sclient=gws-wiz-serp" TargetMode="External"/><Relationship Id="rId17" Type="http://schemas.openxmlformats.org/officeDocument/2006/relationships/hyperlink" Target="https://www.google.com/search?q=lvi+dvur+Praha&amp;sca_esv=76a18ee69d7f7d9a&amp;biw=1280&amp;bih=551&amp;sxsrf=ANbL-n6pvne9ru1TWedzUPzT2KlpzDdzGA%3A1773226247494&amp;ei=B0mxaZLxHYiLxc8P5pi90Ao&amp;ved=0ahUKEwjSkNrE1peTAxWIRfEDHWZMD6oQ4dUDCBE&amp;uact=5&amp;oq=lvi+dvur+Praha&amp;gs_lp=Egxnd3Mtd2l6LXNlcnAiDmx2aSBkdnVyIFByYWhhMgQQABgeMgYQABgFGB4yCBAAGIAEGKIEMgUQABjvBTIFEAAY7wUyBRAAGO8FMgUQABjvBUjpFFAAWIAScAB4AJABAJgBYqABwAWqAQE5uAEDyAEA-AEBmAIJoALxBcICBxAuGA0YgATCAgcQABiABBgNwgIGEAAYBxgewgINEC4YgAQYDRjHARivAcICFhAuGA0YgAQYlwUY3AQY3gQY4ATYAQHCAggQABgHGB4YE8ICERAuGK8BGMcBGMsBGIAEGI4FwgIIEAAYgAQYywHCAiAQLhivARjHARjLARiABBiOBRiXBRjcBBjeBBjgBNgBAcICCBAAGAgYBxgewgIGEAAYHhgNwgIIEAAYBRgHGB6YAwC6BgYIARABGBSSBwM3LjKgB8Y2sgcDNy4yuAfxBcIHBzAuMS43LjHIByyACAE&amp;sclient=gws-wiz-serp" TargetMode="External"/><Relationship Id="rId16" Type="http://schemas.openxmlformats.org/officeDocument/2006/relationships/hyperlink" Target="mailto:rezervace@lvidvur.rest" TargetMode="External"/><Relationship Id="rId38" Type="http://schemas.openxmlformats.org/officeDocument/2006/relationships/drawing" Target="../drawings/drawing1.xml"/><Relationship Id="rId19" Type="http://schemas.openxmlformats.org/officeDocument/2006/relationships/hyperlink" Target="https://www.google.com/search?q=Pizza+Kmotra++Praha&amp;sca_esv=76a18ee69d7f7d9a&amp;biw=1280&amp;bih=551&amp;sxsrf=ANbL-n5kdh9z2v-BVc7sqx3UBfty_dYFGg%3A1773227953017&amp;ei=sU-xaadkkILFzw_Jw-GhDg&amp;ved=0ahUKEwjngPvx3JeTAxUQQfEDHclhOOQQ4dUDCBE&amp;uact=5&amp;oq=Pizza+Kmotra++Praha&amp;gs_lp=Egxnd3Mtd2l6LXNlcnAiE1BpenphIEttb3RyYSAgUHJhaGEyBBAAGB4yBRAAGO8FMgUQABjvBTIFEAAY7wVIhwNQAFjRAXAAeAGQAQCYAVegAY8BqgEBMrgBA8gBAPgBAvgBAZgCAqACngGYAwCSBwEyoAelBLIHATK4B54BwgcFMi0xLjHIBwyACAE&amp;sclient=gws-wiz-serp" TargetMode="External"/><Relationship Id="rId18" Type="http://schemas.openxmlformats.org/officeDocument/2006/relationships/hyperlink" Target="https://www.google.com/search?q=pizza+nuova+Praha&amp;sca_esv=76a18ee69d7f7d9a&amp;biw=1280&amp;bih=551&amp;sxsrf=ANbL-n6_MfwcJYY6II1kPQRgGc-KTxApnw%3A1773227220863&amp;ei=1EyxaZa1NN-59u8Py-LqsQg&amp;ved=0ahUKEwiW7-uU2peTAxXfnP0HHUuxOoYQ4dUDCBE&amp;uact=5&amp;oq=pizza+nuova+Praha&amp;gs_lp=Egxnd3Mtd2l6LXNlcnAiEXBpenphIG51b3ZhIFByYWhhMhEQLhivARjHARjLARiABBiOBTIGEAAYBxgeMgYQABgHGB4yBhAAGAcYHjIHEAAYgAQYDTIEEAAYHjIEEAAYHjIEEAAYHjIEEAAYHjIEEAAYHjIgEC4YrwEYxwEYywEYgAQYjgUYlwUY3AQY3gQY4ATYAQFI9htQwgdY0RlwAngAkAEAmAFgoAH-B6oBAjEzuAEDyAEA-AEBmAIOoAL8B8ICChAAGEcY1gQYsAPCAgcQLhiABBgNwgIIEAAYBxgeGArCAgkQABiABBgNGBPCAggQABgHGB4YE8ICChAAGAcYHhgTGArCAggQABiABBjLAcICEBAuGA0YrwEYxwEYgAQYjgXCAh8QLhgNGK8BGMcBGIAEGI4FGJcFGNwEGN4EGOAE2AEBwgIQEC4YgAQYDRjHARivARiOBcICHxAuGIAEGA0YxwEYrwEYjgUYlwUY3AQY3gQY4ATYAQGYAwCIBgGQBgi6BgYIARABGBSSBwQxMy4xoAfZVLIHBDExLjG4B-oHwgcEMi0xNMgHRYAIAQ&amp;sclient=gws-wiz-ser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86"/>
    <col customWidth="1" min="2" max="2" width="12.71"/>
    <col customWidth="1" min="3" max="5" width="8.71"/>
    <col customWidth="1" min="6" max="6" width="14.57"/>
    <col customWidth="1" min="7" max="7" width="9.0"/>
    <col customWidth="1" min="8" max="8" width="10.57"/>
    <col customWidth="1" min="9" max="9" width="8.71"/>
    <col customWidth="1" min="10" max="10" width="11.43"/>
    <col customWidth="1" min="11" max="11" width="16.29"/>
    <col customWidth="1" min="12" max="12" width="18.86"/>
    <col customWidth="1" min="13" max="13" width="17.43"/>
    <col customWidth="1" min="14" max="14" width="19.43"/>
    <col customWidth="1" min="15" max="15" width="19.57"/>
    <col customWidth="1" min="16" max="16" width="17.14"/>
    <col customWidth="1" min="17" max="17" width="19.71"/>
    <col customWidth="1" min="18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4" t="s">
        <v>17</v>
      </c>
      <c r="S1" s="4" t="s">
        <v>18</v>
      </c>
    </row>
    <row r="2">
      <c r="A2" s="5" t="s">
        <v>19</v>
      </c>
      <c r="B2" s="5" t="s">
        <v>20</v>
      </c>
      <c r="C2" s="5" t="s">
        <v>21</v>
      </c>
      <c r="D2" s="5" t="s">
        <v>22</v>
      </c>
      <c r="E2" s="5" t="s">
        <v>23</v>
      </c>
      <c r="F2" s="5" t="s">
        <v>24</v>
      </c>
      <c r="G2" s="5" t="s">
        <v>25</v>
      </c>
      <c r="H2" s="5" t="s">
        <v>26</v>
      </c>
      <c r="I2" s="5" t="s">
        <v>27</v>
      </c>
      <c r="J2" s="6">
        <v>45979.0</v>
      </c>
      <c r="K2" s="6">
        <v>45992.0</v>
      </c>
      <c r="L2" s="6"/>
      <c r="M2" s="7"/>
      <c r="N2" s="7"/>
      <c r="O2" s="5" t="s">
        <v>28</v>
      </c>
      <c r="P2" s="5" t="s">
        <v>29</v>
      </c>
      <c r="Q2" s="8">
        <v>0.3</v>
      </c>
      <c r="R2" s="5" t="s">
        <v>30</v>
      </c>
      <c r="S2" s="7"/>
    </row>
    <row r="3">
      <c r="A3" s="9" t="s">
        <v>31</v>
      </c>
      <c r="B3" s="5" t="s">
        <v>20</v>
      </c>
      <c r="C3" s="5" t="s">
        <v>21</v>
      </c>
      <c r="D3" s="5" t="s">
        <v>32</v>
      </c>
      <c r="E3" s="5" t="s">
        <v>23</v>
      </c>
      <c r="F3" s="5" t="s">
        <v>33</v>
      </c>
      <c r="G3" s="5" t="s">
        <v>25</v>
      </c>
      <c r="H3" s="5" t="s">
        <v>26</v>
      </c>
      <c r="I3" s="5" t="s">
        <v>27</v>
      </c>
      <c r="J3" s="6">
        <v>45968.0</v>
      </c>
      <c r="K3" s="6">
        <v>45999.0</v>
      </c>
      <c r="L3" s="6"/>
      <c r="M3" s="7"/>
      <c r="N3" s="7"/>
      <c r="O3" s="7"/>
      <c r="P3" s="5" t="s">
        <v>29</v>
      </c>
      <c r="Q3" s="8">
        <v>0.3</v>
      </c>
      <c r="R3" s="5" t="s">
        <v>34</v>
      </c>
      <c r="S3" s="7"/>
    </row>
    <row r="4">
      <c r="A4" s="5" t="s">
        <v>35</v>
      </c>
      <c r="B4" s="5" t="s">
        <v>36</v>
      </c>
      <c r="C4" s="5" t="s">
        <v>21</v>
      </c>
      <c r="D4" s="5" t="s">
        <v>32</v>
      </c>
      <c r="E4" s="5" t="s">
        <v>23</v>
      </c>
      <c r="F4" s="5" t="s">
        <v>33</v>
      </c>
      <c r="G4" s="5" t="s">
        <v>25</v>
      </c>
      <c r="H4" s="5" t="s">
        <v>26</v>
      </c>
      <c r="I4" s="5" t="s">
        <v>27</v>
      </c>
      <c r="J4" s="6">
        <v>45977.0</v>
      </c>
      <c r="K4" s="6">
        <v>45988.0</v>
      </c>
      <c r="L4" s="6"/>
      <c r="M4" s="7"/>
      <c r="N4" s="7"/>
      <c r="O4" s="5" t="s">
        <v>28</v>
      </c>
      <c r="P4" s="5" t="s">
        <v>29</v>
      </c>
      <c r="Q4" s="8">
        <v>0.5</v>
      </c>
      <c r="R4" s="10" t="s">
        <v>37</v>
      </c>
      <c r="S4" s="7"/>
    </row>
    <row r="5">
      <c r="A5" s="5" t="s">
        <v>38</v>
      </c>
      <c r="B5" s="5" t="s">
        <v>36</v>
      </c>
      <c r="C5" s="5" t="s">
        <v>21</v>
      </c>
      <c r="D5" s="5" t="s">
        <v>39</v>
      </c>
      <c r="E5" s="5" t="s">
        <v>23</v>
      </c>
      <c r="F5" s="5" t="s">
        <v>33</v>
      </c>
      <c r="G5" s="5" t="s">
        <v>40</v>
      </c>
      <c r="H5" s="5" t="s">
        <v>41</v>
      </c>
      <c r="I5" s="5" t="s">
        <v>42</v>
      </c>
      <c r="J5" s="6">
        <v>45977.0</v>
      </c>
      <c r="K5" s="6">
        <v>45986.0</v>
      </c>
      <c r="L5" s="6"/>
      <c r="M5" s="7"/>
      <c r="N5" s="5" t="s">
        <v>43</v>
      </c>
      <c r="O5" s="5" t="s">
        <v>44</v>
      </c>
      <c r="P5" s="5" t="s">
        <v>29</v>
      </c>
      <c r="Q5" s="8">
        <v>0.2</v>
      </c>
      <c r="R5" s="5" t="s">
        <v>45</v>
      </c>
      <c r="S5" s="7"/>
    </row>
    <row r="6">
      <c r="A6" s="5" t="s">
        <v>46</v>
      </c>
      <c r="B6" s="5" t="s">
        <v>47</v>
      </c>
      <c r="C6" s="5" t="s">
        <v>21</v>
      </c>
      <c r="D6" s="5" t="s">
        <v>39</v>
      </c>
      <c r="E6" s="5" t="s">
        <v>23</v>
      </c>
      <c r="F6" s="5" t="s">
        <v>33</v>
      </c>
      <c r="G6" s="5" t="s">
        <v>25</v>
      </c>
      <c r="H6" s="5" t="s">
        <v>26</v>
      </c>
      <c r="I6" s="5" t="s">
        <v>27</v>
      </c>
      <c r="J6" s="6">
        <v>45977.0</v>
      </c>
      <c r="K6" s="6">
        <v>45999.0</v>
      </c>
      <c r="L6" s="6"/>
      <c r="M6" s="7"/>
      <c r="N6" s="7"/>
      <c r="O6" s="7"/>
      <c r="P6" s="5" t="s">
        <v>29</v>
      </c>
      <c r="Q6" s="8">
        <v>0.2</v>
      </c>
      <c r="R6" s="5" t="s">
        <v>48</v>
      </c>
      <c r="S6" s="7"/>
    </row>
    <row r="7">
      <c r="A7" s="5" t="s">
        <v>49</v>
      </c>
      <c r="B7" s="5" t="s">
        <v>36</v>
      </c>
      <c r="C7" s="5" t="s">
        <v>50</v>
      </c>
      <c r="D7" s="5" t="s">
        <v>51</v>
      </c>
      <c r="E7" s="5" t="s">
        <v>23</v>
      </c>
      <c r="F7" s="5" t="s">
        <v>33</v>
      </c>
      <c r="G7" s="5" t="s">
        <v>52</v>
      </c>
      <c r="H7" s="5" t="s">
        <v>26</v>
      </c>
      <c r="I7" s="5" t="s">
        <v>42</v>
      </c>
      <c r="J7" s="6">
        <v>45973.0</v>
      </c>
      <c r="K7" s="6">
        <v>45985.0</v>
      </c>
      <c r="L7" s="6"/>
      <c r="M7" s="7"/>
      <c r="N7" s="7"/>
      <c r="O7" s="5" t="s">
        <v>53</v>
      </c>
      <c r="P7" s="5" t="s">
        <v>54</v>
      </c>
      <c r="Q7" s="8">
        <v>0.3</v>
      </c>
      <c r="R7" s="5" t="s">
        <v>55</v>
      </c>
      <c r="S7" s="7"/>
    </row>
    <row r="8">
      <c r="A8" s="5" t="s">
        <v>56</v>
      </c>
      <c r="B8" s="5" t="s">
        <v>47</v>
      </c>
      <c r="C8" s="5" t="s">
        <v>50</v>
      </c>
      <c r="D8" s="5" t="s">
        <v>57</v>
      </c>
      <c r="E8" s="5" t="s">
        <v>23</v>
      </c>
      <c r="F8" s="5" t="s">
        <v>24</v>
      </c>
      <c r="G8" s="5" t="s">
        <v>52</v>
      </c>
      <c r="H8" s="5" t="s">
        <v>26</v>
      </c>
      <c r="I8" s="5" t="s">
        <v>42</v>
      </c>
      <c r="J8" s="6">
        <v>45973.0</v>
      </c>
      <c r="K8" s="6">
        <v>45985.0</v>
      </c>
      <c r="L8" s="6"/>
      <c r="M8" s="7"/>
      <c r="N8" s="7"/>
      <c r="O8" s="5" t="s">
        <v>53</v>
      </c>
      <c r="P8" s="5" t="s">
        <v>58</v>
      </c>
      <c r="Q8" s="8">
        <v>0.2</v>
      </c>
      <c r="R8" s="5" t="s">
        <v>59</v>
      </c>
      <c r="S8" s="7"/>
    </row>
    <row r="9">
      <c r="A9" s="5" t="s">
        <v>60</v>
      </c>
      <c r="B9" s="5" t="s">
        <v>61</v>
      </c>
      <c r="C9" s="5" t="s">
        <v>50</v>
      </c>
      <c r="D9" s="5" t="s">
        <v>62</v>
      </c>
      <c r="E9" s="5" t="s">
        <v>23</v>
      </c>
      <c r="F9" s="5" t="s">
        <v>63</v>
      </c>
      <c r="G9" s="5" t="s">
        <v>25</v>
      </c>
      <c r="H9" s="5" t="s">
        <v>26</v>
      </c>
      <c r="I9" s="5" t="s">
        <v>42</v>
      </c>
      <c r="J9" s="6">
        <v>45978.0</v>
      </c>
      <c r="K9" s="6">
        <v>45992.0</v>
      </c>
      <c r="L9" s="6"/>
      <c r="M9" s="7"/>
      <c r="N9" s="7"/>
      <c r="O9" s="5" t="s">
        <v>53</v>
      </c>
      <c r="P9" s="5" t="s">
        <v>58</v>
      </c>
      <c r="Q9" s="8">
        <v>0.2</v>
      </c>
      <c r="R9" s="5" t="s">
        <v>64</v>
      </c>
      <c r="S9" s="7"/>
    </row>
    <row r="10">
      <c r="A10" s="5" t="s">
        <v>65</v>
      </c>
      <c r="B10" s="5" t="s">
        <v>66</v>
      </c>
      <c r="C10" s="5" t="s">
        <v>50</v>
      </c>
      <c r="D10" s="5" t="s">
        <v>67</v>
      </c>
      <c r="E10" s="5" t="s">
        <v>23</v>
      </c>
      <c r="F10" s="5" t="s">
        <v>63</v>
      </c>
      <c r="G10" s="5" t="s">
        <v>25</v>
      </c>
      <c r="H10" s="5" t="s">
        <v>26</v>
      </c>
      <c r="I10" s="5" t="s">
        <v>42</v>
      </c>
      <c r="J10" s="6">
        <v>45978.0</v>
      </c>
      <c r="K10" s="6">
        <v>45992.0</v>
      </c>
      <c r="L10" s="6"/>
      <c r="M10" s="7"/>
      <c r="N10" s="7"/>
      <c r="O10" s="5" t="s">
        <v>53</v>
      </c>
      <c r="P10" s="5" t="s">
        <v>58</v>
      </c>
      <c r="Q10" s="8">
        <v>0.3</v>
      </c>
      <c r="R10" s="5" t="s">
        <v>68</v>
      </c>
      <c r="S10" s="7"/>
    </row>
    <row r="11">
      <c r="A11" s="5" t="s">
        <v>69</v>
      </c>
      <c r="B11" s="5" t="s">
        <v>36</v>
      </c>
      <c r="C11" s="5" t="s">
        <v>21</v>
      </c>
      <c r="D11" s="5" t="s">
        <v>70</v>
      </c>
      <c r="E11" s="5" t="s">
        <v>23</v>
      </c>
      <c r="F11" s="5" t="s">
        <v>63</v>
      </c>
      <c r="G11" s="5" t="s">
        <v>25</v>
      </c>
      <c r="H11" s="5" t="s">
        <v>26</v>
      </c>
      <c r="I11" s="5" t="s">
        <v>42</v>
      </c>
      <c r="J11" s="6">
        <v>45978.0</v>
      </c>
      <c r="K11" s="6">
        <v>45992.0</v>
      </c>
      <c r="L11" s="6"/>
      <c r="M11" s="7"/>
      <c r="N11" s="7"/>
      <c r="O11" s="5" t="s">
        <v>53</v>
      </c>
      <c r="P11" s="5" t="s">
        <v>29</v>
      </c>
      <c r="Q11" s="8">
        <v>0.2</v>
      </c>
      <c r="R11" s="5" t="s">
        <v>71</v>
      </c>
      <c r="S11" s="7"/>
    </row>
    <row r="12">
      <c r="A12" s="5" t="s">
        <v>72</v>
      </c>
      <c r="B12" s="5" t="s">
        <v>47</v>
      </c>
      <c r="C12" s="5" t="s">
        <v>21</v>
      </c>
      <c r="D12" s="5" t="s">
        <v>73</v>
      </c>
      <c r="E12" s="5" t="s">
        <v>23</v>
      </c>
      <c r="F12" s="5" t="s">
        <v>63</v>
      </c>
      <c r="G12" s="5" t="s">
        <v>25</v>
      </c>
      <c r="H12" s="5" t="s">
        <v>26</v>
      </c>
      <c r="I12" s="5" t="s">
        <v>42</v>
      </c>
      <c r="J12" s="6">
        <v>45978.0</v>
      </c>
      <c r="K12" s="6">
        <v>45988.0</v>
      </c>
      <c r="L12" s="6"/>
      <c r="M12" s="7"/>
      <c r="N12" s="7"/>
      <c r="O12" s="5" t="s">
        <v>53</v>
      </c>
      <c r="P12" s="5" t="s">
        <v>29</v>
      </c>
      <c r="Q12" s="8">
        <v>0.2</v>
      </c>
      <c r="R12" s="5" t="s">
        <v>74</v>
      </c>
      <c r="S12" s="7"/>
    </row>
    <row r="13">
      <c r="A13" s="5" t="s">
        <v>75</v>
      </c>
      <c r="B13" s="5" t="s">
        <v>20</v>
      </c>
      <c r="C13" s="5" t="s">
        <v>21</v>
      </c>
      <c r="D13" s="5" t="s">
        <v>70</v>
      </c>
      <c r="E13" s="5" t="s">
        <v>23</v>
      </c>
      <c r="F13" s="5" t="s">
        <v>63</v>
      </c>
      <c r="G13" s="5" t="s">
        <v>25</v>
      </c>
      <c r="H13" s="5" t="s">
        <v>26</v>
      </c>
      <c r="I13" s="5" t="s">
        <v>42</v>
      </c>
      <c r="J13" s="6">
        <v>45978.0</v>
      </c>
      <c r="K13" s="6">
        <v>45987.0</v>
      </c>
      <c r="L13" s="6"/>
      <c r="M13" s="7"/>
      <c r="N13" s="7"/>
      <c r="O13" s="5" t="s">
        <v>53</v>
      </c>
      <c r="P13" s="5" t="s">
        <v>29</v>
      </c>
      <c r="Q13" s="8">
        <v>0.2</v>
      </c>
      <c r="R13" s="5" t="s">
        <v>76</v>
      </c>
      <c r="S13" s="7"/>
    </row>
    <row r="14">
      <c r="A14" s="5" t="s">
        <v>77</v>
      </c>
      <c r="B14" s="5" t="s">
        <v>66</v>
      </c>
      <c r="C14" s="5" t="s">
        <v>50</v>
      </c>
      <c r="D14" s="5" t="s">
        <v>78</v>
      </c>
      <c r="E14" s="5" t="s">
        <v>23</v>
      </c>
      <c r="F14" s="5" t="s">
        <v>63</v>
      </c>
      <c r="G14" s="5" t="s">
        <v>79</v>
      </c>
      <c r="H14" s="5" t="s">
        <v>80</v>
      </c>
      <c r="I14" s="5" t="s">
        <v>42</v>
      </c>
      <c r="J14" s="6">
        <v>45978.0</v>
      </c>
      <c r="K14" s="6">
        <v>46088.0</v>
      </c>
      <c r="L14" s="6">
        <v>46143.0</v>
      </c>
      <c r="M14" s="7"/>
      <c r="N14" s="5" t="s">
        <v>81</v>
      </c>
      <c r="O14" s="5" t="s">
        <v>82</v>
      </c>
      <c r="P14" s="5" t="s">
        <v>83</v>
      </c>
      <c r="Q14" s="8">
        <v>0.3</v>
      </c>
      <c r="R14" s="5" t="s">
        <v>84</v>
      </c>
      <c r="S14" s="7"/>
    </row>
    <row r="15">
      <c r="A15" s="5" t="s">
        <v>85</v>
      </c>
      <c r="B15" s="5" t="s">
        <v>36</v>
      </c>
      <c r="C15" s="5" t="s">
        <v>50</v>
      </c>
      <c r="D15" s="5" t="s">
        <v>86</v>
      </c>
      <c r="E15" s="5" t="s">
        <v>23</v>
      </c>
      <c r="F15" s="5" t="s">
        <v>63</v>
      </c>
      <c r="G15" s="5" t="s">
        <v>25</v>
      </c>
      <c r="H15" s="5" t="s">
        <v>26</v>
      </c>
      <c r="I15" s="5" t="s">
        <v>42</v>
      </c>
      <c r="J15" s="6">
        <v>45978.0</v>
      </c>
      <c r="K15" s="6">
        <v>45988.0</v>
      </c>
      <c r="L15" s="6"/>
      <c r="M15" s="7"/>
      <c r="N15" s="7"/>
      <c r="O15" s="5" t="s">
        <v>53</v>
      </c>
      <c r="P15" s="5" t="s">
        <v>83</v>
      </c>
      <c r="Q15" s="8">
        <v>0.3</v>
      </c>
      <c r="R15" s="10" t="s">
        <v>87</v>
      </c>
      <c r="S15" s="7"/>
    </row>
    <row r="16">
      <c r="A16" s="5" t="s">
        <v>88</v>
      </c>
      <c r="B16" s="5" t="s">
        <v>61</v>
      </c>
      <c r="C16" s="5" t="s">
        <v>50</v>
      </c>
      <c r="D16" s="5" t="s">
        <v>89</v>
      </c>
      <c r="E16" s="5" t="s">
        <v>90</v>
      </c>
      <c r="F16" s="5" t="s">
        <v>33</v>
      </c>
      <c r="G16" s="5" t="s">
        <v>25</v>
      </c>
      <c r="H16" s="5" t="s">
        <v>80</v>
      </c>
      <c r="I16" s="5" t="s">
        <v>42</v>
      </c>
      <c r="J16" s="6">
        <v>45978.0</v>
      </c>
      <c r="K16" s="6">
        <v>46098.0</v>
      </c>
      <c r="L16" s="6">
        <v>46132.0</v>
      </c>
      <c r="M16" s="5" t="s">
        <v>91</v>
      </c>
      <c r="N16" s="5" t="s">
        <v>92</v>
      </c>
      <c r="O16" s="5" t="s">
        <v>93</v>
      </c>
      <c r="P16" s="5" t="s">
        <v>54</v>
      </c>
      <c r="Q16" s="8">
        <v>0.2</v>
      </c>
      <c r="R16" s="5" t="s">
        <v>94</v>
      </c>
      <c r="S16" s="7"/>
    </row>
    <row r="17">
      <c r="A17" s="5" t="s">
        <v>95</v>
      </c>
      <c r="B17" s="5" t="s">
        <v>66</v>
      </c>
      <c r="C17" s="5" t="s">
        <v>50</v>
      </c>
      <c r="D17" s="5" t="s">
        <v>96</v>
      </c>
      <c r="E17" s="5" t="s">
        <v>23</v>
      </c>
      <c r="F17" s="5" t="s">
        <v>33</v>
      </c>
      <c r="G17" s="5" t="s">
        <v>25</v>
      </c>
      <c r="H17" s="5" t="s">
        <v>26</v>
      </c>
      <c r="I17" s="5" t="s">
        <v>42</v>
      </c>
      <c r="J17" s="6">
        <v>45978.0</v>
      </c>
      <c r="K17" s="6">
        <v>45988.0</v>
      </c>
      <c r="L17" s="6"/>
      <c r="M17" s="7"/>
      <c r="N17" s="5" t="s">
        <v>97</v>
      </c>
      <c r="O17" s="7"/>
      <c r="P17" s="5" t="s">
        <v>58</v>
      </c>
      <c r="Q17" s="8">
        <v>0.2</v>
      </c>
      <c r="R17" s="5" t="s">
        <v>98</v>
      </c>
      <c r="S17" s="7"/>
    </row>
    <row r="18">
      <c r="A18" s="5" t="s">
        <v>99</v>
      </c>
      <c r="B18" s="5" t="s">
        <v>66</v>
      </c>
      <c r="C18" s="5" t="s">
        <v>50</v>
      </c>
      <c r="D18" s="5" t="s">
        <v>96</v>
      </c>
      <c r="E18" s="5" t="s">
        <v>23</v>
      </c>
      <c r="F18" s="5" t="s">
        <v>24</v>
      </c>
      <c r="G18" s="5" t="s">
        <v>25</v>
      </c>
      <c r="H18" s="5" t="s">
        <v>26</v>
      </c>
      <c r="I18" s="5" t="s">
        <v>42</v>
      </c>
      <c r="J18" s="6">
        <v>45978.0</v>
      </c>
      <c r="K18" s="6">
        <v>45987.0</v>
      </c>
      <c r="L18" s="6"/>
      <c r="M18" s="7"/>
      <c r="N18" s="5" t="s">
        <v>97</v>
      </c>
      <c r="O18" s="7"/>
      <c r="P18" s="5" t="s">
        <v>58</v>
      </c>
      <c r="Q18" s="8">
        <v>0.2</v>
      </c>
      <c r="R18" s="5" t="s">
        <v>100</v>
      </c>
      <c r="S18" s="7"/>
    </row>
    <row r="19">
      <c r="A19" s="5" t="s">
        <v>101</v>
      </c>
      <c r="B19" s="5" t="s">
        <v>20</v>
      </c>
      <c r="C19" s="5" t="s">
        <v>50</v>
      </c>
      <c r="D19" s="5" t="s">
        <v>89</v>
      </c>
      <c r="E19" s="5" t="s">
        <v>23</v>
      </c>
      <c r="F19" s="5" t="s">
        <v>24</v>
      </c>
      <c r="G19" s="5" t="s">
        <v>25</v>
      </c>
      <c r="H19" s="5" t="s">
        <v>26</v>
      </c>
      <c r="I19" s="5" t="s">
        <v>27</v>
      </c>
      <c r="J19" s="6">
        <v>45978.0</v>
      </c>
      <c r="K19" s="6">
        <v>45987.0</v>
      </c>
      <c r="L19" s="6"/>
      <c r="M19" s="7"/>
      <c r="N19" s="5" t="s">
        <v>97</v>
      </c>
      <c r="O19" s="7"/>
      <c r="P19" s="5" t="s">
        <v>29</v>
      </c>
      <c r="Q19" s="8">
        <v>0.3</v>
      </c>
      <c r="R19" s="5" t="s">
        <v>102</v>
      </c>
      <c r="S19" s="7"/>
    </row>
    <row r="20" ht="15.75" customHeight="1">
      <c r="A20" s="5" t="s">
        <v>103</v>
      </c>
      <c r="B20" s="5" t="s">
        <v>20</v>
      </c>
      <c r="C20" s="5" t="s">
        <v>21</v>
      </c>
      <c r="D20" s="5" t="s">
        <v>89</v>
      </c>
      <c r="E20" s="5" t="s">
        <v>23</v>
      </c>
      <c r="F20" s="5" t="s">
        <v>24</v>
      </c>
      <c r="G20" s="5" t="s">
        <v>25</v>
      </c>
      <c r="H20" s="5" t="s">
        <v>26</v>
      </c>
      <c r="I20" s="5" t="s">
        <v>27</v>
      </c>
      <c r="J20" s="6">
        <v>45978.0</v>
      </c>
      <c r="K20" s="6">
        <v>45987.0</v>
      </c>
      <c r="L20" s="6"/>
      <c r="M20" s="7"/>
      <c r="N20" s="5" t="s">
        <v>97</v>
      </c>
      <c r="O20" s="7"/>
      <c r="P20" s="5" t="s">
        <v>29</v>
      </c>
      <c r="Q20" s="8">
        <v>0.2</v>
      </c>
      <c r="R20" s="5" t="s">
        <v>104</v>
      </c>
      <c r="S20" s="7"/>
    </row>
    <row r="21" ht="15.75" customHeight="1">
      <c r="A21" s="5" t="s">
        <v>105</v>
      </c>
      <c r="B21" s="5" t="s">
        <v>20</v>
      </c>
      <c r="C21" s="5" t="s">
        <v>21</v>
      </c>
      <c r="D21" s="5" t="s">
        <v>89</v>
      </c>
      <c r="E21" s="5" t="s">
        <v>23</v>
      </c>
      <c r="F21" s="5" t="s">
        <v>63</v>
      </c>
      <c r="G21" s="5" t="s">
        <v>25</v>
      </c>
      <c r="H21" s="5" t="s">
        <v>26</v>
      </c>
      <c r="I21" s="5" t="s">
        <v>42</v>
      </c>
      <c r="J21" s="6">
        <v>45978.0</v>
      </c>
      <c r="K21" s="6">
        <v>45987.0</v>
      </c>
      <c r="L21" s="6"/>
      <c r="M21" s="7"/>
      <c r="N21" s="5" t="s">
        <v>97</v>
      </c>
      <c r="O21" s="7"/>
      <c r="P21" s="5" t="s">
        <v>29</v>
      </c>
      <c r="Q21" s="8">
        <v>0.2</v>
      </c>
      <c r="R21" s="5" t="s">
        <v>106</v>
      </c>
      <c r="S21" s="7"/>
    </row>
    <row r="22" ht="15.75" customHeight="1">
      <c r="A22" s="5" t="s">
        <v>107</v>
      </c>
      <c r="B22" s="5" t="s">
        <v>108</v>
      </c>
      <c r="C22" s="5" t="s">
        <v>21</v>
      </c>
      <c r="D22" s="5" t="s">
        <v>89</v>
      </c>
      <c r="E22" s="5" t="s">
        <v>23</v>
      </c>
      <c r="F22" s="5" t="s">
        <v>63</v>
      </c>
      <c r="G22" s="5" t="s">
        <v>25</v>
      </c>
      <c r="H22" s="5" t="s">
        <v>26</v>
      </c>
      <c r="I22" s="5" t="s">
        <v>42</v>
      </c>
      <c r="J22" s="6">
        <v>45978.0</v>
      </c>
      <c r="K22" s="6">
        <v>45992.0</v>
      </c>
      <c r="L22" s="6"/>
      <c r="M22" s="7"/>
      <c r="N22" s="5" t="s">
        <v>97</v>
      </c>
      <c r="O22" s="7"/>
      <c r="P22" s="5" t="s">
        <v>83</v>
      </c>
      <c r="Q22" s="8">
        <v>0.3</v>
      </c>
      <c r="R22" s="5" t="s">
        <v>109</v>
      </c>
      <c r="S22" s="7"/>
    </row>
    <row r="23" ht="15.75" customHeight="1">
      <c r="A23" s="5" t="s">
        <v>110</v>
      </c>
      <c r="B23" s="5" t="s">
        <v>108</v>
      </c>
      <c r="C23" s="5" t="s">
        <v>21</v>
      </c>
      <c r="D23" s="5" t="s">
        <v>89</v>
      </c>
      <c r="E23" s="5" t="s">
        <v>23</v>
      </c>
      <c r="F23" s="5" t="s">
        <v>63</v>
      </c>
      <c r="G23" s="5" t="s">
        <v>25</v>
      </c>
      <c r="H23" s="5" t="s">
        <v>26</v>
      </c>
      <c r="I23" s="5" t="s">
        <v>42</v>
      </c>
      <c r="J23" s="6">
        <v>45978.0</v>
      </c>
      <c r="K23" s="6">
        <v>45992.0</v>
      </c>
      <c r="L23" s="6"/>
      <c r="M23" s="7"/>
      <c r="N23" s="5" t="s">
        <v>97</v>
      </c>
      <c r="O23" s="7"/>
      <c r="P23" s="5" t="s">
        <v>29</v>
      </c>
      <c r="Q23" s="8">
        <v>0.3</v>
      </c>
      <c r="R23" s="5" t="s">
        <v>111</v>
      </c>
      <c r="S23" s="7"/>
    </row>
    <row r="24" ht="15.75" customHeight="1">
      <c r="A24" s="11" t="s">
        <v>112</v>
      </c>
      <c r="B24" s="5" t="s">
        <v>108</v>
      </c>
      <c r="C24" s="5" t="s">
        <v>21</v>
      </c>
      <c r="D24" s="5" t="s">
        <v>113</v>
      </c>
      <c r="E24" s="5" t="s">
        <v>23</v>
      </c>
      <c r="F24" s="5" t="s">
        <v>63</v>
      </c>
      <c r="G24" s="5" t="s">
        <v>25</v>
      </c>
      <c r="H24" s="5" t="s">
        <v>26</v>
      </c>
      <c r="I24" s="5" t="s">
        <v>42</v>
      </c>
      <c r="J24" s="6">
        <v>45978.0</v>
      </c>
      <c r="K24" s="6">
        <v>45992.0</v>
      </c>
      <c r="L24" s="6"/>
      <c r="M24" s="7"/>
      <c r="N24" s="5" t="s">
        <v>97</v>
      </c>
      <c r="O24" s="7"/>
      <c r="P24" s="5" t="s">
        <v>58</v>
      </c>
      <c r="Q24" s="8">
        <v>0.3</v>
      </c>
      <c r="R24" s="5" t="s">
        <v>114</v>
      </c>
      <c r="S24" s="7"/>
    </row>
    <row r="25" ht="15.75" customHeight="1">
      <c r="A25" s="11" t="s">
        <v>115</v>
      </c>
      <c r="B25" s="5" t="s">
        <v>108</v>
      </c>
      <c r="C25" s="5" t="s">
        <v>21</v>
      </c>
      <c r="D25" s="5" t="s">
        <v>89</v>
      </c>
      <c r="E25" s="5" t="s">
        <v>23</v>
      </c>
      <c r="F25" s="5" t="s">
        <v>63</v>
      </c>
      <c r="G25" s="5" t="s">
        <v>25</v>
      </c>
      <c r="H25" s="5" t="s">
        <v>80</v>
      </c>
      <c r="I25" s="5" t="s">
        <v>42</v>
      </c>
      <c r="J25" s="6">
        <v>45978.0</v>
      </c>
      <c r="K25" s="6">
        <v>46051.0</v>
      </c>
      <c r="L25" s="6"/>
      <c r="M25" s="7"/>
      <c r="N25" s="7"/>
      <c r="O25" s="5" t="s">
        <v>116</v>
      </c>
      <c r="P25" s="5" t="s">
        <v>29</v>
      </c>
      <c r="Q25" s="8">
        <v>0.3</v>
      </c>
      <c r="R25" s="5" t="s">
        <v>117</v>
      </c>
      <c r="S25" s="7"/>
    </row>
    <row r="26" ht="15.75" customHeight="1">
      <c r="A26" s="5" t="s">
        <v>118</v>
      </c>
      <c r="B26" s="5" t="s">
        <v>20</v>
      </c>
      <c r="C26" s="5" t="s">
        <v>21</v>
      </c>
      <c r="D26" s="5" t="s">
        <v>89</v>
      </c>
      <c r="E26" s="5" t="s">
        <v>23</v>
      </c>
      <c r="F26" s="5" t="s">
        <v>33</v>
      </c>
      <c r="G26" s="5" t="s">
        <v>25</v>
      </c>
      <c r="H26" s="5" t="s">
        <v>26</v>
      </c>
      <c r="I26" s="5" t="s">
        <v>27</v>
      </c>
      <c r="J26" s="6">
        <v>45978.0</v>
      </c>
      <c r="K26" s="6">
        <v>45987.0</v>
      </c>
      <c r="L26" s="6"/>
      <c r="M26" s="7"/>
      <c r="N26" s="5" t="s">
        <v>97</v>
      </c>
      <c r="O26" s="7"/>
      <c r="P26" s="5" t="s">
        <v>29</v>
      </c>
      <c r="Q26" s="8">
        <v>0.2</v>
      </c>
      <c r="R26" s="12" t="s">
        <v>119</v>
      </c>
      <c r="S26" s="13"/>
    </row>
    <row r="27" ht="15.75" customHeight="1">
      <c r="A27" s="5" t="s">
        <v>120</v>
      </c>
      <c r="B27" s="5" t="s">
        <v>20</v>
      </c>
      <c r="C27" s="5" t="s">
        <v>21</v>
      </c>
      <c r="D27" s="5" t="s">
        <v>89</v>
      </c>
      <c r="E27" s="5" t="s">
        <v>23</v>
      </c>
      <c r="F27" s="5" t="s">
        <v>33</v>
      </c>
      <c r="G27" s="5" t="s">
        <v>25</v>
      </c>
      <c r="H27" s="5" t="s">
        <v>26</v>
      </c>
      <c r="I27" s="5" t="s">
        <v>27</v>
      </c>
      <c r="J27" s="6">
        <v>45978.0</v>
      </c>
      <c r="K27" s="6">
        <v>45987.0</v>
      </c>
      <c r="L27" s="6"/>
      <c r="M27" s="7"/>
      <c r="N27" s="5" t="s">
        <v>97</v>
      </c>
      <c r="O27" s="7"/>
      <c r="P27" s="5" t="s">
        <v>29</v>
      </c>
      <c r="Q27" s="8">
        <v>0.2</v>
      </c>
      <c r="R27" s="5" t="s">
        <v>121</v>
      </c>
      <c r="S27" s="7"/>
    </row>
    <row r="28" ht="15.75" customHeight="1">
      <c r="A28" s="5" t="s">
        <v>122</v>
      </c>
      <c r="B28" s="5" t="s">
        <v>20</v>
      </c>
      <c r="C28" s="5" t="s">
        <v>21</v>
      </c>
      <c r="D28" s="5" t="s">
        <v>89</v>
      </c>
      <c r="E28" s="5" t="s">
        <v>23</v>
      </c>
      <c r="F28" s="5" t="s">
        <v>63</v>
      </c>
      <c r="G28" s="5" t="s">
        <v>25</v>
      </c>
      <c r="H28" s="5" t="s">
        <v>26</v>
      </c>
      <c r="I28" s="5" t="s">
        <v>42</v>
      </c>
      <c r="J28" s="6">
        <v>45978.0</v>
      </c>
      <c r="K28" s="6">
        <v>45988.0</v>
      </c>
      <c r="L28" s="6"/>
      <c r="M28" s="7"/>
      <c r="N28" s="5" t="s">
        <v>97</v>
      </c>
      <c r="O28" s="7"/>
      <c r="P28" s="5" t="s">
        <v>58</v>
      </c>
      <c r="Q28" s="8">
        <v>0.2</v>
      </c>
      <c r="R28" s="5" t="s">
        <v>123</v>
      </c>
      <c r="S28" s="7"/>
    </row>
    <row r="29" ht="15.75" customHeight="1">
      <c r="A29" s="5" t="s">
        <v>124</v>
      </c>
      <c r="B29" s="5" t="s">
        <v>20</v>
      </c>
      <c r="C29" s="5" t="s">
        <v>21</v>
      </c>
      <c r="D29" s="5" t="s">
        <v>89</v>
      </c>
      <c r="E29" s="5" t="s">
        <v>23</v>
      </c>
      <c r="F29" s="5" t="s">
        <v>33</v>
      </c>
      <c r="G29" s="5" t="s">
        <v>25</v>
      </c>
      <c r="H29" s="5" t="s">
        <v>26</v>
      </c>
      <c r="I29" s="5" t="s">
        <v>27</v>
      </c>
      <c r="J29" s="6">
        <v>45979.0</v>
      </c>
      <c r="K29" s="6">
        <v>45988.0</v>
      </c>
      <c r="L29" s="6"/>
      <c r="M29" s="7"/>
      <c r="N29" s="5" t="s">
        <v>97</v>
      </c>
      <c r="O29" s="7"/>
      <c r="P29" s="5" t="s">
        <v>29</v>
      </c>
      <c r="Q29" s="8">
        <v>0.2</v>
      </c>
      <c r="R29" s="5" t="s">
        <v>125</v>
      </c>
      <c r="S29" s="7"/>
    </row>
    <row r="30" ht="15.75" customHeight="1">
      <c r="A30" s="5" t="s">
        <v>126</v>
      </c>
      <c r="B30" s="5" t="s">
        <v>20</v>
      </c>
      <c r="C30" s="5" t="s">
        <v>21</v>
      </c>
      <c r="D30" s="5" t="s">
        <v>89</v>
      </c>
      <c r="E30" s="5" t="s">
        <v>23</v>
      </c>
      <c r="F30" s="5" t="s">
        <v>63</v>
      </c>
      <c r="G30" s="5" t="s">
        <v>127</v>
      </c>
      <c r="H30" s="5" t="s">
        <v>128</v>
      </c>
      <c r="I30" s="5" t="s">
        <v>42</v>
      </c>
      <c r="J30" s="6">
        <v>45979.0</v>
      </c>
      <c r="K30" s="6">
        <v>45992.0</v>
      </c>
      <c r="L30" s="6"/>
      <c r="M30" s="7"/>
      <c r="N30" s="5"/>
      <c r="O30" s="5" t="s">
        <v>129</v>
      </c>
      <c r="P30" s="5" t="s">
        <v>130</v>
      </c>
      <c r="Q30" s="8">
        <v>0.5</v>
      </c>
      <c r="R30" s="5" t="s">
        <v>131</v>
      </c>
      <c r="S30" s="5" t="s">
        <v>132</v>
      </c>
    </row>
    <row r="31" ht="15.75" customHeight="1">
      <c r="A31" s="5" t="s">
        <v>133</v>
      </c>
      <c r="B31" s="5" t="s">
        <v>20</v>
      </c>
      <c r="C31" s="5" t="s">
        <v>21</v>
      </c>
      <c r="D31" s="5" t="s">
        <v>89</v>
      </c>
      <c r="E31" s="5" t="s">
        <v>23</v>
      </c>
      <c r="F31" s="5" t="s">
        <v>33</v>
      </c>
      <c r="G31" s="5" t="s">
        <v>25</v>
      </c>
      <c r="H31" s="5" t="s">
        <v>26</v>
      </c>
      <c r="I31" s="5" t="s">
        <v>27</v>
      </c>
      <c r="J31" s="6">
        <v>45979.0</v>
      </c>
      <c r="K31" s="6">
        <v>45987.0</v>
      </c>
      <c r="L31" s="6"/>
      <c r="M31" s="7"/>
      <c r="N31" s="5" t="s">
        <v>97</v>
      </c>
      <c r="O31" s="7"/>
      <c r="P31" s="5" t="s">
        <v>29</v>
      </c>
      <c r="Q31" s="8">
        <v>0.5</v>
      </c>
      <c r="R31" s="5" t="s">
        <v>134</v>
      </c>
      <c r="S31" s="7"/>
    </row>
    <row r="32" ht="15.75" customHeight="1">
      <c r="A32" s="5" t="s">
        <v>135</v>
      </c>
      <c r="B32" s="5" t="s">
        <v>20</v>
      </c>
      <c r="C32" s="5" t="s">
        <v>21</v>
      </c>
      <c r="D32" s="5" t="s">
        <v>89</v>
      </c>
      <c r="E32" s="5" t="s">
        <v>23</v>
      </c>
      <c r="F32" s="5" t="s">
        <v>33</v>
      </c>
      <c r="G32" s="5" t="s">
        <v>25</v>
      </c>
      <c r="H32" s="5" t="s">
        <v>26</v>
      </c>
      <c r="I32" s="5" t="s">
        <v>27</v>
      </c>
      <c r="J32" s="6">
        <v>45979.0</v>
      </c>
      <c r="K32" s="6">
        <v>45988.0</v>
      </c>
      <c r="L32" s="6"/>
      <c r="M32" s="7"/>
      <c r="N32" s="5" t="s">
        <v>97</v>
      </c>
      <c r="O32" s="7"/>
      <c r="P32" s="5" t="s">
        <v>29</v>
      </c>
      <c r="Q32" s="8">
        <v>0.2</v>
      </c>
      <c r="R32" s="5" t="s">
        <v>136</v>
      </c>
      <c r="S32" s="7"/>
    </row>
    <row r="33" ht="15.75" customHeight="1">
      <c r="A33" s="5" t="s">
        <v>137</v>
      </c>
      <c r="B33" s="5" t="s">
        <v>20</v>
      </c>
      <c r="C33" s="5" t="s">
        <v>21</v>
      </c>
      <c r="D33" s="5" t="s">
        <v>89</v>
      </c>
      <c r="E33" s="5" t="s">
        <v>23</v>
      </c>
      <c r="F33" s="5" t="s">
        <v>63</v>
      </c>
      <c r="G33" s="5" t="s">
        <v>25</v>
      </c>
      <c r="H33" s="5" t="s">
        <v>26</v>
      </c>
      <c r="I33" s="5" t="s">
        <v>42</v>
      </c>
      <c r="J33" s="6">
        <v>45979.0</v>
      </c>
      <c r="K33" s="6">
        <v>45988.0</v>
      </c>
      <c r="L33" s="6"/>
      <c r="M33" s="7"/>
      <c r="N33" s="5" t="s">
        <v>97</v>
      </c>
      <c r="O33" s="7"/>
      <c r="P33" s="5" t="s">
        <v>29</v>
      </c>
      <c r="Q33" s="8">
        <v>0.3</v>
      </c>
      <c r="R33" s="5" t="s">
        <v>138</v>
      </c>
      <c r="S33" s="7"/>
    </row>
    <row r="34" ht="15.75" customHeight="1">
      <c r="A34" s="5" t="s">
        <v>139</v>
      </c>
      <c r="B34" s="5" t="s">
        <v>20</v>
      </c>
      <c r="C34" s="5" t="s">
        <v>21</v>
      </c>
      <c r="D34" s="5" t="s">
        <v>89</v>
      </c>
      <c r="E34" s="5" t="s">
        <v>23</v>
      </c>
      <c r="F34" s="5" t="s">
        <v>63</v>
      </c>
      <c r="G34" s="5" t="s">
        <v>25</v>
      </c>
      <c r="H34" s="5" t="s">
        <v>26</v>
      </c>
      <c r="I34" s="5" t="s">
        <v>42</v>
      </c>
      <c r="J34" s="6">
        <v>45979.0</v>
      </c>
      <c r="K34" s="6">
        <v>45987.0</v>
      </c>
      <c r="L34" s="6"/>
      <c r="M34" s="7"/>
      <c r="N34" s="5" t="s">
        <v>97</v>
      </c>
      <c r="O34" s="7"/>
      <c r="P34" s="5" t="s">
        <v>29</v>
      </c>
      <c r="Q34" s="8">
        <v>0.2</v>
      </c>
      <c r="R34" s="5" t="s">
        <v>140</v>
      </c>
      <c r="S34" s="7"/>
    </row>
    <row r="35" ht="15.75" customHeight="1">
      <c r="A35" s="5" t="s">
        <v>141</v>
      </c>
      <c r="B35" s="5" t="s">
        <v>47</v>
      </c>
      <c r="C35" s="5" t="s">
        <v>21</v>
      </c>
      <c r="D35" s="5" t="s">
        <v>89</v>
      </c>
      <c r="E35" s="5" t="s">
        <v>23</v>
      </c>
      <c r="F35" s="5" t="s">
        <v>33</v>
      </c>
      <c r="G35" s="5" t="s">
        <v>25</v>
      </c>
      <c r="H35" s="5" t="s">
        <v>26</v>
      </c>
      <c r="I35" s="5" t="s">
        <v>27</v>
      </c>
      <c r="J35" s="6">
        <v>45980.0</v>
      </c>
      <c r="K35" s="6">
        <v>45993.0</v>
      </c>
      <c r="L35" s="6"/>
      <c r="M35" s="7"/>
      <c r="N35" s="5" t="s">
        <v>97</v>
      </c>
      <c r="O35" s="7"/>
      <c r="P35" s="5" t="s">
        <v>58</v>
      </c>
      <c r="Q35" s="8">
        <v>0.2</v>
      </c>
      <c r="R35" s="5" t="s">
        <v>142</v>
      </c>
      <c r="S35" s="7"/>
    </row>
    <row r="36" ht="15.75" customHeight="1">
      <c r="A36" s="5" t="s">
        <v>143</v>
      </c>
      <c r="B36" s="5" t="s">
        <v>20</v>
      </c>
      <c r="C36" s="5" t="s">
        <v>21</v>
      </c>
      <c r="D36" s="5" t="s">
        <v>89</v>
      </c>
      <c r="E36" s="5" t="s">
        <v>23</v>
      </c>
      <c r="F36" s="5" t="s">
        <v>33</v>
      </c>
      <c r="G36" s="5" t="s">
        <v>25</v>
      </c>
      <c r="H36" s="5" t="s">
        <v>26</v>
      </c>
      <c r="I36" s="5" t="s">
        <v>27</v>
      </c>
      <c r="J36" s="6">
        <v>45981.0</v>
      </c>
      <c r="K36" s="6">
        <v>45996.0</v>
      </c>
      <c r="L36" s="6"/>
      <c r="M36" s="7"/>
      <c r="N36" s="5" t="s">
        <v>97</v>
      </c>
      <c r="O36" s="7"/>
      <c r="P36" s="5" t="s">
        <v>29</v>
      </c>
      <c r="Q36" s="8">
        <v>0.4</v>
      </c>
      <c r="R36" s="5" t="s">
        <v>144</v>
      </c>
      <c r="S36" s="7"/>
    </row>
    <row r="37" ht="15.75" customHeight="1">
      <c r="A37" s="5" t="s">
        <v>145</v>
      </c>
      <c r="B37" s="5" t="s">
        <v>20</v>
      </c>
      <c r="C37" s="5" t="s">
        <v>21</v>
      </c>
      <c r="D37" s="5" t="s">
        <v>89</v>
      </c>
      <c r="E37" s="5" t="s">
        <v>23</v>
      </c>
      <c r="F37" s="5" t="s">
        <v>63</v>
      </c>
      <c r="G37" s="5" t="s">
        <v>146</v>
      </c>
      <c r="H37" s="5" t="s">
        <v>41</v>
      </c>
      <c r="I37" s="5" t="s">
        <v>27</v>
      </c>
      <c r="J37" s="6">
        <v>45981.0</v>
      </c>
      <c r="K37" s="6">
        <v>45981.0</v>
      </c>
      <c r="L37" s="6"/>
      <c r="M37" s="7"/>
      <c r="N37" s="7"/>
      <c r="O37" s="5" t="s">
        <v>147</v>
      </c>
      <c r="P37" s="5" t="s">
        <v>130</v>
      </c>
      <c r="Q37" s="8">
        <v>0.2</v>
      </c>
      <c r="R37" s="7"/>
      <c r="S37" s="7"/>
    </row>
    <row r="38" ht="15.75" customHeight="1">
      <c r="A38" s="5" t="s">
        <v>148</v>
      </c>
      <c r="B38" s="5" t="s">
        <v>20</v>
      </c>
      <c r="C38" s="5" t="s">
        <v>21</v>
      </c>
      <c r="D38" s="5" t="s">
        <v>89</v>
      </c>
      <c r="E38" s="5" t="s">
        <v>23</v>
      </c>
      <c r="F38" s="5" t="s">
        <v>63</v>
      </c>
      <c r="G38" s="5" t="s">
        <v>25</v>
      </c>
      <c r="H38" s="5" t="s">
        <v>26</v>
      </c>
      <c r="I38" s="5" t="s">
        <v>42</v>
      </c>
      <c r="J38" s="6">
        <v>45981.0</v>
      </c>
      <c r="K38" s="6">
        <v>45987.0</v>
      </c>
      <c r="L38" s="6"/>
      <c r="M38" s="7"/>
      <c r="N38" s="5" t="s">
        <v>97</v>
      </c>
      <c r="O38" s="7"/>
      <c r="P38" s="5" t="s">
        <v>29</v>
      </c>
      <c r="Q38" s="8">
        <v>0.3</v>
      </c>
      <c r="R38" s="5" t="s">
        <v>149</v>
      </c>
      <c r="S38" s="7"/>
    </row>
    <row r="39" ht="15.75" customHeight="1">
      <c r="A39" s="5" t="s">
        <v>150</v>
      </c>
      <c r="B39" s="5" t="s">
        <v>20</v>
      </c>
      <c r="C39" s="5" t="s">
        <v>21</v>
      </c>
      <c r="D39" s="5" t="s">
        <v>89</v>
      </c>
      <c r="E39" s="5" t="s">
        <v>23</v>
      </c>
      <c r="F39" s="5" t="s">
        <v>63</v>
      </c>
      <c r="G39" s="5" t="s">
        <v>40</v>
      </c>
      <c r="H39" s="5" t="s">
        <v>80</v>
      </c>
      <c r="I39" s="5" t="s">
        <v>42</v>
      </c>
      <c r="J39" s="6">
        <v>45981.0</v>
      </c>
      <c r="K39" s="6">
        <v>45987.0</v>
      </c>
      <c r="L39" s="6">
        <v>46147.0</v>
      </c>
      <c r="M39" s="7"/>
      <c r="N39" s="7"/>
      <c r="O39" s="5" t="s">
        <v>151</v>
      </c>
      <c r="P39" s="5" t="s">
        <v>29</v>
      </c>
      <c r="Q39" s="8">
        <v>0.2</v>
      </c>
      <c r="R39" s="5" t="s">
        <v>152</v>
      </c>
      <c r="S39" s="7"/>
    </row>
    <row r="40" ht="15.75" customHeight="1">
      <c r="A40" s="5" t="s">
        <v>153</v>
      </c>
      <c r="B40" s="5" t="s">
        <v>20</v>
      </c>
      <c r="C40" s="5" t="s">
        <v>21</v>
      </c>
      <c r="D40" s="5" t="s">
        <v>89</v>
      </c>
      <c r="E40" s="5" t="s">
        <v>23</v>
      </c>
      <c r="F40" s="5" t="s">
        <v>63</v>
      </c>
      <c r="G40" s="5" t="s">
        <v>146</v>
      </c>
      <c r="H40" s="5" t="s">
        <v>80</v>
      </c>
      <c r="I40" s="5" t="s">
        <v>42</v>
      </c>
      <c r="J40" s="6">
        <v>45981.0</v>
      </c>
      <c r="K40" s="6">
        <v>46038.0</v>
      </c>
      <c r="L40" s="6"/>
      <c r="M40" s="5" t="s">
        <v>154</v>
      </c>
      <c r="N40" s="7"/>
      <c r="O40" s="5" t="s">
        <v>155</v>
      </c>
      <c r="P40" s="5" t="s">
        <v>54</v>
      </c>
      <c r="Q40" s="8">
        <v>0.2</v>
      </c>
      <c r="R40" s="5" t="s">
        <v>156</v>
      </c>
      <c r="S40" s="7"/>
    </row>
    <row r="41" ht="15.75" customHeight="1">
      <c r="A41" s="5" t="s">
        <v>157</v>
      </c>
      <c r="B41" s="5" t="s">
        <v>66</v>
      </c>
      <c r="C41" s="5" t="s">
        <v>21</v>
      </c>
      <c r="D41" s="5" t="s">
        <v>89</v>
      </c>
      <c r="E41" s="5" t="s">
        <v>23</v>
      </c>
      <c r="F41" s="5" t="s">
        <v>63</v>
      </c>
      <c r="G41" s="5" t="s">
        <v>40</v>
      </c>
      <c r="H41" s="5" t="s">
        <v>26</v>
      </c>
      <c r="I41" s="5" t="s">
        <v>42</v>
      </c>
      <c r="J41" s="6">
        <v>45982.0</v>
      </c>
      <c r="K41" s="6">
        <v>45999.0</v>
      </c>
      <c r="L41" s="6"/>
      <c r="M41" s="7"/>
      <c r="N41" s="7"/>
      <c r="O41" s="7"/>
      <c r="P41" s="5" t="s">
        <v>29</v>
      </c>
      <c r="Q41" s="8">
        <v>0.3</v>
      </c>
      <c r="R41" s="5" t="s">
        <v>158</v>
      </c>
      <c r="S41" s="5">
        <v>7.02237478E8</v>
      </c>
    </row>
    <row r="42" ht="15.75" customHeight="1">
      <c r="A42" s="5" t="s">
        <v>159</v>
      </c>
      <c r="B42" s="5" t="s">
        <v>108</v>
      </c>
      <c r="C42" s="5" t="s">
        <v>21</v>
      </c>
      <c r="D42" s="7"/>
      <c r="E42" s="5" t="s">
        <v>23</v>
      </c>
      <c r="F42" s="5" t="s">
        <v>63</v>
      </c>
      <c r="G42" s="5" t="s">
        <v>40</v>
      </c>
      <c r="H42" s="5" t="s">
        <v>80</v>
      </c>
      <c r="I42" s="5" t="s">
        <v>42</v>
      </c>
      <c r="J42" s="6">
        <v>45982.0</v>
      </c>
      <c r="K42" s="6">
        <v>45991.0</v>
      </c>
      <c r="L42" s="6"/>
      <c r="M42" s="7"/>
      <c r="N42" s="7"/>
      <c r="O42" s="5" t="s">
        <v>160</v>
      </c>
      <c r="P42" s="5" t="s">
        <v>29</v>
      </c>
      <c r="Q42" s="8">
        <v>0.3</v>
      </c>
      <c r="R42" s="5" t="s">
        <v>161</v>
      </c>
      <c r="S42" s="5" t="s">
        <v>162</v>
      </c>
    </row>
    <row r="43" ht="15.75" customHeight="1">
      <c r="A43" s="5" t="s">
        <v>163</v>
      </c>
      <c r="B43" s="5" t="s">
        <v>108</v>
      </c>
      <c r="C43" s="5" t="s">
        <v>21</v>
      </c>
      <c r="D43" s="5" t="s">
        <v>89</v>
      </c>
      <c r="E43" s="5" t="s">
        <v>23</v>
      </c>
      <c r="F43" s="5" t="s">
        <v>63</v>
      </c>
      <c r="G43" s="5" t="s">
        <v>25</v>
      </c>
      <c r="H43" s="5" t="s">
        <v>26</v>
      </c>
      <c r="I43" s="5" t="s">
        <v>42</v>
      </c>
      <c r="J43" s="6">
        <v>45982.0</v>
      </c>
      <c r="K43" s="6">
        <v>45999.0</v>
      </c>
      <c r="L43" s="6"/>
      <c r="M43" s="7"/>
      <c r="N43" s="7"/>
      <c r="O43" s="7"/>
      <c r="P43" s="5" t="s">
        <v>29</v>
      </c>
      <c r="Q43" s="8">
        <v>0.3</v>
      </c>
      <c r="R43" s="5" t="s">
        <v>164</v>
      </c>
      <c r="S43" s="7"/>
    </row>
    <row r="44" ht="15.75" customHeight="1">
      <c r="A44" s="5" t="s">
        <v>165</v>
      </c>
      <c r="B44" s="5" t="s">
        <v>108</v>
      </c>
      <c r="C44" s="5" t="s">
        <v>21</v>
      </c>
      <c r="D44" s="5" t="s">
        <v>89</v>
      </c>
      <c r="E44" s="5" t="s">
        <v>23</v>
      </c>
      <c r="F44" s="5" t="s">
        <v>63</v>
      </c>
      <c r="G44" s="5" t="s">
        <v>25</v>
      </c>
      <c r="H44" s="5" t="s">
        <v>26</v>
      </c>
      <c r="I44" s="5" t="s">
        <v>42</v>
      </c>
      <c r="J44" s="6">
        <v>45982.0</v>
      </c>
      <c r="K44" s="6">
        <v>45999.0</v>
      </c>
      <c r="L44" s="6"/>
      <c r="M44" s="7"/>
      <c r="N44" s="7"/>
      <c r="O44" s="7"/>
      <c r="P44" s="5" t="s">
        <v>29</v>
      </c>
      <c r="Q44" s="8">
        <v>0.3</v>
      </c>
      <c r="R44" s="5" t="s">
        <v>166</v>
      </c>
      <c r="S44" s="7"/>
    </row>
    <row r="45" ht="15.75" customHeight="1">
      <c r="A45" s="5" t="s">
        <v>167</v>
      </c>
      <c r="B45" s="5" t="s">
        <v>108</v>
      </c>
      <c r="C45" s="5" t="s">
        <v>21</v>
      </c>
      <c r="D45" s="5" t="s">
        <v>168</v>
      </c>
      <c r="E45" s="5" t="s">
        <v>23</v>
      </c>
      <c r="F45" s="5" t="s">
        <v>63</v>
      </c>
      <c r="G45" s="5" t="s">
        <v>25</v>
      </c>
      <c r="H45" s="5" t="s">
        <v>26</v>
      </c>
      <c r="I45" s="5" t="s">
        <v>42</v>
      </c>
      <c r="J45" s="6">
        <v>45982.0</v>
      </c>
      <c r="K45" s="6">
        <v>45999.0</v>
      </c>
      <c r="L45" s="6"/>
      <c r="M45" s="7"/>
      <c r="N45" s="7"/>
      <c r="O45" s="7"/>
      <c r="P45" s="5" t="s">
        <v>29</v>
      </c>
      <c r="Q45" s="8">
        <v>0.3</v>
      </c>
      <c r="R45" s="5" t="s">
        <v>169</v>
      </c>
      <c r="S45" s="7"/>
    </row>
    <row r="46" ht="15.75" customHeight="1">
      <c r="A46" s="5" t="s">
        <v>170</v>
      </c>
      <c r="B46" s="5" t="s">
        <v>66</v>
      </c>
      <c r="C46" s="5" t="s">
        <v>21</v>
      </c>
      <c r="D46" s="5" t="s">
        <v>89</v>
      </c>
      <c r="E46" s="5" t="s">
        <v>23</v>
      </c>
      <c r="F46" s="5" t="s">
        <v>63</v>
      </c>
      <c r="G46" s="5" t="s">
        <v>25</v>
      </c>
      <c r="H46" s="5" t="s">
        <v>26</v>
      </c>
      <c r="I46" s="5" t="s">
        <v>42</v>
      </c>
      <c r="J46" s="6">
        <v>45982.0</v>
      </c>
      <c r="K46" s="6">
        <v>45999.0</v>
      </c>
      <c r="L46" s="6"/>
      <c r="M46" s="7"/>
      <c r="N46" s="7"/>
      <c r="O46" s="7"/>
      <c r="P46" s="5" t="s">
        <v>29</v>
      </c>
      <c r="Q46" s="8">
        <v>0.3</v>
      </c>
      <c r="R46" s="5" t="s">
        <v>171</v>
      </c>
      <c r="S46" s="7"/>
    </row>
    <row r="47" ht="15.75" customHeight="1">
      <c r="A47" s="5" t="s">
        <v>172</v>
      </c>
      <c r="B47" s="5" t="s">
        <v>108</v>
      </c>
      <c r="C47" s="5" t="s">
        <v>21</v>
      </c>
      <c r="D47" s="5" t="s">
        <v>168</v>
      </c>
      <c r="E47" s="5" t="s">
        <v>23</v>
      </c>
      <c r="F47" s="5" t="s">
        <v>63</v>
      </c>
      <c r="G47" s="5" t="s">
        <v>25</v>
      </c>
      <c r="H47" s="5" t="s">
        <v>26</v>
      </c>
      <c r="I47" s="5" t="s">
        <v>42</v>
      </c>
      <c r="J47" s="6">
        <v>45983.0</v>
      </c>
      <c r="K47" s="6">
        <v>45999.0</v>
      </c>
      <c r="L47" s="6"/>
      <c r="M47" s="7"/>
      <c r="N47" s="7"/>
      <c r="O47" s="7"/>
      <c r="P47" s="5" t="s">
        <v>83</v>
      </c>
      <c r="Q47" s="8">
        <v>0.3</v>
      </c>
      <c r="R47" s="5" t="s">
        <v>173</v>
      </c>
      <c r="S47" s="7"/>
    </row>
    <row r="48" ht="15.75" customHeight="1">
      <c r="A48" s="5" t="s">
        <v>174</v>
      </c>
      <c r="B48" s="5" t="s">
        <v>20</v>
      </c>
      <c r="C48" s="5" t="s">
        <v>50</v>
      </c>
      <c r="D48" s="5" t="s">
        <v>89</v>
      </c>
      <c r="E48" s="5" t="s">
        <v>23</v>
      </c>
      <c r="F48" s="5" t="s">
        <v>33</v>
      </c>
      <c r="G48" s="5" t="s">
        <v>25</v>
      </c>
      <c r="H48" s="5" t="s">
        <v>26</v>
      </c>
      <c r="I48" s="5" t="s">
        <v>27</v>
      </c>
      <c r="J48" s="6">
        <v>45983.0</v>
      </c>
      <c r="K48" s="6">
        <v>45999.0</v>
      </c>
      <c r="L48" s="6"/>
      <c r="M48" s="7"/>
      <c r="N48" s="7"/>
      <c r="O48" s="7"/>
      <c r="P48" s="5" t="s">
        <v>29</v>
      </c>
      <c r="Q48" s="8">
        <v>0.4</v>
      </c>
      <c r="R48" s="5" t="s">
        <v>175</v>
      </c>
      <c r="S48" s="5" t="s">
        <v>176</v>
      </c>
    </row>
    <row r="49" ht="15.75" customHeight="1">
      <c r="A49" s="5" t="s">
        <v>177</v>
      </c>
      <c r="B49" s="5" t="s">
        <v>20</v>
      </c>
      <c r="C49" s="5" t="s">
        <v>178</v>
      </c>
      <c r="D49" s="5" t="s">
        <v>89</v>
      </c>
      <c r="E49" s="5" t="s">
        <v>23</v>
      </c>
      <c r="F49" s="5" t="s">
        <v>33</v>
      </c>
      <c r="G49" s="5" t="s">
        <v>79</v>
      </c>
      <c r="H49" s="5" t="s">
        <v>26</v>
      </c>
      <c r="I49" s="5" t="s">
        <v>42</v>
      </c>
      <c r="J49" s="6">
        <v>45983.0</v>
      </c>
      <c r="K49" s="14"/>
      <c r="L49" s="6"/>
      <c r="M49" s="7"/>
      <c r="N49" s="7"/>
      <c r="O49" s="7"/>
      <c r="P49" s="5" t="s">
        <v>54</v>
      </c>
      <c r="Q49" s="8">
        <v>0.2</v>
      </c>
      <c r="R49" s="5" t="s">
        <v>179</v>
      </c>
      <c r="S49" s="7"/>
    </row>
    <row r="50" ht="15.75" customHeight="1">
      <c r="A50" s="5" t="s">
        <v>180</v>
      </c>
      <c r="B50" s="5" t="s">
        <v>20</v>
      </c>
      <c r="C50" s="5" t="s">
        <v>21</v>
      </c>
      <c r="D50" s="5" t="s">
        <v>89</v>
      </c>
      <c r="E50" s="5" t="s">
        <v>23</v>
      </c>
      <c r="F50" s="5" t="s">
        <v>33</v>
      </c>
      <c r="G50" s="5" t="s">
        <v>25</v>
      </c>
      <c r="H50" s="5" t="s">
        <v>80</v>
      </c>
      <c r="I50" s="5" t="s">
        <v>27</v>
      </c>
      <c r="J50" s="6">
        <v>45983.0</v>
      </c>
      <c r="K50" s="6">
        <v>46036.0</v>
      </c>
      <c r="L50" s="6"/>
      <c r="M50" s="7"/>
      <c r="N50" s="5" t="s">
        <v>181</v>
      </c>
      <c r="O50" s="5" t="s">
        <v>182</v>
      </c>
      <c r="P50" s="5" t="s">
        <v>29</v>
      </c>
      <c r="Q50" s="8">
        <v>0.3</v>
      </c>
      <c r="R50" s="5" t="s">
        <v>183</v>
      </c>
      <c r="S50" s="7"/>
    </row>
    <row r="51" ht="15.75" customHeight="1">
      <c r="A51" s="5" t="s">
        <v>184</v>
      </c>
      <c r="B51" s="5" t="s">
        <v>20</v>
      </c>
      <c r="C51" s="5" t="s">
        <v>21</v>
      </c>
      <c r="D51" s="5" t="s">
        <v>89</v>
      </c>
      <c r="E51" s="5" t="s">
        <v>23</v>
      </c>
      <c r="F51" s="5" t="s">
        <v>63</v>
      </c>
      <c r="G51" s="5" t="s">
        <v>25</v>
      </c>
      <c r="H51" s="5" t="s">
        <v>26</v>
      </c>
      <c r="I51" s="5" t="s">
        <v>42</v>
      </c>
      <c r="J51" s="6">
        <v>45983.0</v>
      </c>
      <c r="K51" s="6">
        <v>45999.0</v>
      </c>
      <c r="L51" s="6"/>
      <c r="M51" s="7"/>
      <c r="N51" s="7"/>
      <c r="O51" s="7"/>
      <c r="P51" s="5" t="s">
        <v>29</v>
      </c>
      <c r="Q51" s="8">
        <v>0.3</v>
      </c>
      <c r="R51" s="5" t="s">
        <v>185</v>
      </c>
      <c r="S51" s="7"/>
    </row>
    <row r="52" ht="15.75" customHeight="1">
      <c r="A52" s="5" t="s">
        <v>186</v>
      </c>
      <c r="B52" s="5" t="s">
        <v>36</v>
      </c>
      <c r="C52" s="5" t="s">
        <v>21</v>
      </c>
      <c r="D52" s="5" t="s">
        <v>89</v>
      </c>
      <c r="E52" s="5" t="s">
        <v>23</v>
      </c>
      <c r="F52" s="5" t="s">
        <v>63</v>
      </c>
      <c r="G52" s="5" t="s">
        <v>25</v>
      </c>
      <c r="H52" s="5" t="s">
        <v>26</v>
      </c>
      <c r="I52" s="5" t="s">
        <v>42</v>
      </c>
      <c r="J52" s="6">
        <v>45984.0</v>
      </c>
      <c r="K52" s="6">
        <v>45999.0</v>
      </c>
      <c r="L52" s="6"/>
      <c r="M52" s="5" t="s">
        <v>187</v>
      </c>
      <c r="N52" s="7"/>
      <c r="O52" s="7"/>
      <c r="P52" s="5" t="s">
        <v>58</v>
      </c>
      <c r="Q52" s="8">
        <v>0.3</v>
      </c>
      <c r="R52" s="5" t="s">
        <v>188</v>
      </c>
      <c r="S52" s="7"/>
    </row>
    <row r="53" ht="15.75" customHeight="1">
      <c r="A53" s="5" t="s">
        <v>189</v>
      </c>
      <c r="B53" s="5" t="s">
        <v>47</v>
      </c>
      <c r="C53" s="5" t="s">
        <v>21</v>
      </c>
      <c r="D53" s="5" t="s">
        <v>89</v>
      </c>
      <c r="E53" s="5" t="s">
        <v>23</v>
      </c>
      <c r="F53" s="5" t="s">
        <v>33</v>
      </c>
      <c r="G53" s="5" t="s">
        <v>40</v>
      </c>
      <c r="H53" s="5" t="s">
        <v>41</v>
      </c>
      <c r="I53" s="5" t="s">
        <v>190</v>
      </c>
      <c r="J53" s="6">
        <v>45984.0</v>
      </c>
      <c r="K53" s="6">
        <v>46035.0</v>
      </c>
      <c r="L53" s="6"/>
      <c r="M53" s="7"/>
      <c r="N53" s="7"/>
      <c r="O53" s="5" t="s">
        <v>191</v>
      </c>
      <c r="P53" s="5" t="s">
        <v>83</v>
      </c>
      <c r="Q53" s="8">
        <v>0.3</v>
      </c>
      <c r="R53" s="15" t="s">
        <v>192</v>
      </c>
      <c r="S53" s="7" t="str">
        <f>420 603 252 341 / +420 257 329 031</f>
        <v>#ERROR!</v>
      </c>
    </row>
    <row r="54" ht="15.75" customHeight="1">
      <c r="A54" s="5" t="s">
        <v>193</v>
      </c>
      <c r="B54" s="5" t="s">
        <v>20</v>
      </c>
      <c r="C54" s="5" t="s">
        <v>21</v>
      </c>
      <c r="D54" s="5" t="s">
        <v>89</v>
      </c>
      <c r="E54" s="5" t="s">
        <v>23</v>
      </c>
      <c r="F54" s="5" t="s">
        <v>63</v>
      </c>
      <c r="G54" s="5" t="s">
        <v>194</v>
      </c>
      <c r="H54" s="5" t="s">
        <v>26</v>
      </c>
      <c r="I54" s="5" t="s">
        <v>27</v>
      </c>
      <c r="J54" s="6">
        <v>45985.0</v>
      </c>
      <c r="K54" s="6">
        <v>45999.0</v>
      </c>
      <c r="L54" s="6"/>
      <c r="M54" s="7"/>
      <c r="N54" s="7"/>
      <c r="O54" s="7"/>
      <c r="P54" s="5" t="s">
        <v>83</v>
      </c>
      <c r="Q54" s="8">
        <v>0.3</v>
      </c>
      <c r="R54" s="5" t="s">
        <v>195</v>
      </c>
      <c r="S54" s="7"/>
    </row>
    <row r="55" ht="15.75" customHeight="1">
      <c r="A55" s="5" t="s">
        <v>196</v>
      </c>
      <c r="B55" s="5" t="s">
        <v>20</v>
      </c>
      <c r="C55" s="5" t="s">
        <v>21</v>
      </c>
      <c r="D55" s="5" t="s">
        <v>89</v>
      </c>
      <c r="E55" s="5" t="s">
        <v>23</v>
      </c>
      <c r="F55" s="5" t="s">
        <v>63</v>
      </c>
      <c r="G55" s="5" t="s">
        <v>194</v>
      </c>
      <c r="H55" s="5" t="s">
        <v>26</v>
      </c>
      <c r="I55" s="5" t="s">
        <v>42</v>
      </c>
      <c r="J55" s="6">
        <v>45985.0</v>
      </c>
      <c r="K55" s="6">
        <v>46001.0</v>
      </c>
      <c r="L55" s="6"/>
      <c r="M55" s="7"/>
      <c r="N55" s="7"/>
      <c r="O55" s="7"/>
      <c r="P55" s="5" t="s">
        <v>58</v>
      </c>
      <c r="Q55" s="8">
        <v>0.3</v>
      </c>
      <c r="R55" s="16" t="s">
        <v>197</v>
      </c>
      <c r="S55" s="7"/>
    </row>
    <row r="56" ht="15.75" customHeight="1">
      <c r="A56" s="5" t="s">
        <v>198</v>
      </c>
      <c r="B56" s="5" t="s">
        <v>20</v>
      </c>
      <c r="C56" s="5" t="s">
        <v>21</v>
      </c>
      <c r="D56" s="5" t="s">
        <v>89</v>
      </c>
      <c r="E56" s="5" t="s">
        <v>23</v>
      </c>
      <c r="F56" s="5" t="s">
        <v>24</v>
      </c>
      <c r="G56" s="5" t="s">
        <v>194</v>
      </c>
      <c r="H56" s="5" t="s">
        <v>26</v>
      </c>
      <c r="I56" s="5" t="s">
        <v>190</v>
      </c>
      <c r="J56" s="6">
        <v>45985.0</v>
      </c>
      <c r="K56" s="6">
        <v>46001.0</v>
      </c>
      <c r="L56" s="6"/>
      <c r="M56" s="7"/>
      <c r="N56" s="7"/>
      <c r="O56" s="7"/>
      <c r="P56" s="5" t="s">
        <v>29</v>
      </c>
      <c r="Q56" s="8">
        <v>0.2</v>
      </c>
      <c r="R56" s="5" t="s">
        <v>199</v>
      </c>
      <c r="S56" s="7"/>
    </row>
    <row r="57" ht="15.75" customHeight="1">
      <c r="A57" s="5" t="s">
        <v>200</v>
      </c>
      <c r="B57" s="5" t="s">
        <v>20</v>
      </c>
      <c r="C57" s="5" t="s">
        <v>21</v>
      </c>
      <c r="D57" s="5" t="s">
        <v>89</v>
      </c>
      <c r="E57" s="5" t="s">
        <v>23</v>
      </c>
      <c r="F57" s="5" t="s">
        <v>33</v>
      </c>
      <c r="G57" s="5" t="s">
        <v>40</v>
      </c>
      <c r="H57" s="5" t="s">
        <v>80</v>
      </c>
      <c r="I57" s="5" t="s">
        <v>27</v>
      </c>
      <c r="J57" s="6">
        <v>45985.0</v>
      </c>
      <c r="K57" s="6">
        <v>45993.0</v>
      </c>
      <c r="L57" s="6"/>
      <c r="M57" s="7"/>
      <c r="N57" s="7"/>
      <c r="O57" s="5" t="s">
        <v>201</v>
      </c>
      <c r="P57" s="5" t="s">
        <v>29</v>
      </c>
      <c r="Q57" s="8">
        <v>0.3</v>
      </c>
      <c r="R57" s="5" t="s">
        <v>202</v>
      </c>
      <c r="S57" s="7"/>
    </row>
    <row r="58" ht="15.75" customHeight="1">
      <c r="A58" s="11" t="s">
        <v>203</v>
      </c>
      <c r="B58" s="5" t="s">
        <v>108</v>
      </c>
      <c r="C58" s="5" t="s">
        <v>21</v>
      </c>
      <c r="D58" s="5" t="s">
        <v>89</v>
      </c>
      <c r="E58" s="5" t="s">
        <v>23</v>
      </c>
      <c r="F58" s="5" t="s">
        <v>33</v>
      </c>
      <c r="G58" s="5" t="s">
        <v>40</v>
      </c>
      <c r="H58" s="5" t="s">
        <v>26</v>
      </c>
      <c r="I58" s="5" t="s">
        <v>27</v>
      </c>
      <c r="J58" s="6">
        <v>45986.0</v>
      </c>
      <c r="K58" s="6">
        <v>45999.0</v>
      </c>
      <c r="L58" s="6"/>
      <c r="M58" s="7"/>
      <c r="N58" s="7"/>
      <c r="O58" s="7"/>
      <c r="P58" s="5" t="s">
        <v>29</v>
      </c>
      <c r="Q58" s="8">
        <v>0.3</v>
      </c>
      <c r="R58" s="5" t="s">
        <v>204</v>
      </c>
      <c r="S58" s="7"/>
    </row>
    <row r="59" ht="15.75" customHeight="1">
      <c r="A59" s="5" t="s">
        <v>205</v>
      </c>
      <c r="B59" s="5" t="s">
        <v>20</v>
      </c>
      <c r="C59" s="5" t="s">
        <v>21</v>
      </c>
      <c r="D59" s="5" t="s">
        <v>89</v>
      </c>
      <c r="E59" s="5" t="s">
        <v>23</v>
      </c>
      <c r="F59" s="5" t="s">
        <v>33</v>
      </c>
      <c r="G59" s="5" t="s">
        <v>25</v>
      </c>
      <c r="H59" s="5" t="s">
        <v>26</v>
      </c>
      <c r="I59" s="5" t="s">
        <v>190</v>
      </c>
      <c r="J59" s="6">
        <v>45986.0</v>
      </c>
      <c r="K59" s="6">
        <v>46001.0</v>
      </c>
      <c r="L59" s="6"/>
      <c r="M59" s="7"/>
      <c r="N59" s="7"/>
      <c r="O59" s="7"/>
      <c r="P59" s="5" t="s">
        <v>29</v>
      </c>
      <c r="Q59" s="8">
        <v>0.3</v>
      </c>
      <c r="R59" s="5" t="s">
        <v>206</v>
      </c>
      <c r="S59" s="7"/>
    </row>
    <row r="60" ht="15.75" customHeight="1">
      <c r="A60" s="5" t="s">
        <v>207</v>
      </c>
      <c r="B60" s="5" t="s">
        <v>20</v>
      </c>
      <c r="C60" s="5" t="s">
        <v>21</v>
      </c>
      <c r="D60" s="5" t="s">
        <v>89</v>
      </c>
      <c r="E60" s="5" t="s">
        <v>23</v>
      </c>
      <c r="F60" s="5" t="s">
        <v>33</v>
      </c>
      <c r="G60" s="5" t="s">
        <v>25</v>
      </c>
      <c r="H60" s="5" t="s">
        <v>26</v>
      </c>
      <c r="I60" s="5" t="s">
        <v>190</v>
      </c>
      <c r="J60" s="6">
        <v>45986.0</v>
      </c>
      <c r="K60" s="6">
        <v>46001.0</v>
      </c>
      <c r="L60" s="6">
        <v>46126.0</v>
      </c>
      <c r="M60" s="5" t="s">
        <v>208</v>
      </c>
      <c r="N60" s="7"/>
      <c r="O60" s="7"/>
      <c r="P60" s="5" t="s">
        <v>209</v>
      </c>
      <c r="Q60" s="8">
        <v>0.3</v>
      </c>
      <c r="R60" s="5" t="s">
        <v>210</v>
      </c>
      <c r="S60" s="7"/>
    </row>
    <row r="61" ht="15.75" customHeight="1">
      <c r="A61" s="5" t="s">
        <v>211</v>
      </c>
      <c r="B61" s="5" t="s">
        <v>20</v>
      </c>
      <c r="C61" s="5" t="s">
        <v>50</v>
      </c>
      <c r="D61" s="5" t="s">
        <v>89</v>
      </c>
      <c r="E61" s="5" t="s">
        <v>23</v>
      </c>
      <c r="F61" s="5" t="s">
        <v>33</v>
      </c>
      <c r="G61" s="5" t="s">
        <v>212</v>
      </c>
      <c r="H61" s="5" t="s">
        <v>80</v>
      </c>
      <c r="I61" s="5" t="s">
        <v>42</v>
      </c>
      <c r="J61" s="6">
        <v>45986.0</v>
      </c>
      <c r="K61" s="6">
        <v>46034.0</v>
      </c>
      <c r="L61" s="6"/>
      <c r="M61" s="7"/>
      <c r="N61" s="5" t="s">
        <v>213</v>
      </c>
      <c r="O61" s="5" t="s">
        <v>214</v>
      </c>
      <c r="P61" s="5" t="s">
        <v>54</v>
      </c>
      <c r="Q61" s="8">
        <v>0.3</v>
      </c>
      <c r="R61" s="5" t="s">
        <v>215</v>
      </c>
      <c r="S61" s="7"/>
    </row>
    <row r="62" ht="15.75" customHeight="1">
      <c r="A62" s="17" t="s">
        <v>216</v>
      </c>
      <c r="B62" s="5" t="s">
        <v>36</v>
      </c>
      <c r="C62" s="5" t="s">
        <v>21</v>
      </c>
      <c r="D62" s="5" t="s">
        <v>89</v>
      </c>
      <c r="E62" s="5" t="s">
        <v>23</v>
      </c>
      <c r="F62" s="5" t="s">
        <v>33</v>
      </c>
      <c r="G62" s="5" t="s">
        <v>25</v>
      </c>
      <c r="H62" s="5" t="s">
        <v>128</v>
      </c>
      <c r="I62" s="5" t="s">
        <v>27</v>
      </c>
      <c r="J62" s="6">
        <v>45988.0</v>
      </c>
      <c r="K62" s="6">
        <v>46001.0</v>
      </c>
      <c r="L62" s="6"/>
      <c r="M62" s="7"/>
      <c r="N62" s="5" t="s">
        <v>217</v>
      </c>
      <c r="O62" s="5" t="s">
        <v>218</v>
      </c>
      <c r="P62" s="5" t="s">
        <v>29</v>
      </c>
      <c r="Q62" s="8">
        <v>0.3</v>
      </c>
      <c r="R62" s="5" t="s">
        <v>219</v>
      </c>
      <c r="S62" s="7"/>
    </row>
    <row r="63" ht="15.75" customHeight="1">
      <c r="A63" s="5" t="s">
        <v>220</v>
      </c>
      <c r="B63" s="5" t="s">
        <v>47</v>
      </c>
      <c r="C63" s="5" t="s">
        <v>21</v>
      </c>
      <c r="D63" s="5" t="s">
        <v>89</v>
      </c>
      <c r="E63" s="5" t="s">
        <v>23</v>
      </c>
      <c r="F63" s="5" t="s">
        <v>33</v>
      </c>
      <c r="G63" s="5" t="s">
        <v>25</v>
      </c>
      <c r="H63" s="5" t="s">
        <v>26</v>
      </c>
      <c r="I63" s="5" t="s">
        <v>27</v>
      </c>
      <c r="J63" s="6">
        <v>45988.0</v>
      </c>
      <c r="K63" s="6">
        <v>46001.0</v>
      </c>
      <c r="L63" s="6"/>
      <c r="M63" s="7"/>
      <c r="N63" s="7"/>
      <c r="O63" s="7"/>
      <c r="P63" s="5" t="s">
        <v>29</v>
      </c>
      <c r="Q63" s="8">
        <v>0.3</v>
      </c>
      <c r="R63" s="5" t="s">
        <v>221</v>
      </c>
      <c r="S63" s="7"/>
    </row>
    <row r="64" ht="15.75" customHeight="1">
      <c r="A64" s="5" t="s">
        <v>222</v>
      </c>
      <c r="B64" s="5" t="s">
        <v>36</v>
      </c>
      <c r="C64" s="5" t="s">
        <v>21</v>
      </c>
      <c r="D64" s="5" t="s">
        <v>89</v>
      </c>
      <c r="E64" s="5" t="s">
        <v>23</v>
      </c>
      <c r="F64" s="5" t="s">
        <v>24</v>
      </c>
      <c r="G64" s="5" t="s">
        <v>25</v>
      </c>
      <c r="H64" s="5" t="s">
        <v>26</v>
      </c>
      <c r="I64" s="5" t="s">
        <v>190</v>
      </c>
      <c r="J64" s="6">
        <v>45988.0</v>
      </c>
      <c r="K64" s="6">
        <v>46001.0</v>
      </c>
      <c r="L64" s="6"/>
      <c r="M64" s="7"/>
      <c r="N64" s="7"/>
      <c r="O64" s="7"/>
      <c r="P64" s="5" t="s">
        <v>29</v>
      </c>
      <c r="Q64" s="8">
        <v>0.3</v>
      </c>
      <c r="R64" s="5" t="s">
        <v>223</v>
      </c>
      <c r="S64" s="7"/>
    </row>
    <row r="65" ht="15.75" customHeight="1">
      <c r="A65" s="5" t="s">
        <v>224</v>
      </c>
      <c r="B65" s="5" t="s">
        <v>36</v>
      </c>
      <c r="C65" s="5" t="s">
        <v>21</v>
      </c>
      <c r="D65" s="5" t="s">
        <v>89</v>
      </c>
      <c r="E65" s="5" t="s">
        <v>23</v>
      </c>
      <c r="F65" s="5" t="s">
        <v>63</v>
      </c>
      <c r="G65" s="5" t="s">
        <v>25</v>
      </c>
      <c r="H65" s="5" t="s">
        <v>41</v>
      </c>
      <c r="I65" s="5" t="s">
        <v>27</v>
      </c>
      <c r="J65" s="6">
        <v>45988.0</v>
      </c>
      <c r="K65" s="6">
        <v>46030.0</v>
      </c>
      <c r="L65" s="6"/>
      <c r="M65" s="7"/>
      <c r="N65" s="7"/>
      <c r="O65" s="5" t="s">
        <v>225</v>
      </c>
      <c r="P65" s="5" t="s">
        <v>29</v>
      </c>
      <c r="Q65" s="8">
        <v>0.2</v>
      </c>
      <c r="R65" s="5" t="s">
        <v>226</v>
      </c>
      <c r="S65" s="7"/>
    </row>
    <row r="66" ht="15.75" customHeight="1">
      <c r="A66" s="5" t="s">
        <v>227</v>
      </c>
      <c r="B66" s="5" t="s">
        <v>20</v>
      </c>
      <c r="C66" s="5" t="s">
        <v>21</v>
      </c>
      <c r="D66" s="5" t="s">
        <v>89</v>
      </c>
      <c r="E66" s="5" t="s">
        <v>90</v>
      </c>
      <c r="F66" s="5" t="s">
        <v>33</v>
      </c>
      <c r="G66" s="5" t="s">
        <v>25</v>
      </c>
      <c r="H66" s="5" t="s">
        <v>80</v>
      </c>
      <c r="I66" s="5" t="s">
        <v>27</v>
      </c>
      <c r="J66" s="6">
        <v>45988.0</v>
      </c>
      <c r="K66" s="6">
        <v>46101.0</v>
      </c>
      <c r="L66" s="6">
        <v>46126.0</v>
      </c>
      <c r="M66" s="5" t="s">
        <v>228</v>
      </c>
      <c r="N66" s="5" t="s">
        <v>229</v>
      </c>
      <c r="O66" s="5" t="s">
        <v>230</v>
      </c>
      <c r="P66" s="5" t="s">
        <v>54</v>
      </c>
      <c r="Q66" s="8">
        <v>0.2</v>
      </c>
      <c r="R66" s="5" t="s">
        <v>231</v>
      </c>
      <c r="S66" s="7"/>
    </row>
    <row r="67" ht="15.75" customHeight="1">
      <c r="A67" s="5" t="s">
        <v>232</v>
      </c>
      <c r="B67" s="5" t="s">
        <v>20</v>
      </c>
      <c r="C67" s="5" t="s">
        <v>21</v>
      </c>
      <c r="D67" s="5" t="s">
        <v>89</v>
      </c>
      <c r="E67" s="5" t="s">
        <v>23</v>
      </c>
      <c r="F67" s="5" t="s">
        <v>33</v>
      </c>
      <c r="G67" s="5" t="s">
        <v>40</v>
      </c>
      <c r="H67" s="5" t="s">
        <v>26</v>
      </c>
      <c r="I67" s="5" t="s">
        <v>27</v>
      </c>
      <c r="J67" s="6">
        <v>45988.0</v>
      </c>
      <c r="K67" s="6">
        <v>45996.0</v>
      </c>
      <c r="L67" s="6"/>
      <c r="M67" s="7"/>
      <c r="N67" s="7"/>
      <c r="O67" s="5" t="s">
        <v>233</v>
      </c>
      <c r="P67" s="5" t="s">
        <v>29</v>
      </c>
      <c r="Q67" s="8">
        <v>0.2</v>
      </c>
      <c r="R67" s="16" t="s">
        <v>234</v>
      </c>
      <c r="S67" s="7"/>
    </row>
    <row r="68" ht="15.75" customHeight="1">
      <c r="A68" s="5" t="s">
        <v>235</v>
      </c>
      <c r="B68" s="5" t="s">
        <v>20</v>
      </c>
      <c r="C68" s="5" t="s">
        <v>21</v>
      </c>
      <c r="D68" s="5" t="s">
        <v>89</v>
      </c>
      <c r="E68" s="5" t="s">
        <v>23</v>
      </c>
      <c r="F68" s="5" t="s">
        <v>33</v>
      </c>
      <c r="G68" s="5" t="s">
        <v>40</v>
      </c>
      <c r="H68" s="5" t="s">
        <v>128</v>
      </c>
      <c r="I68" s="5" t="s">
        <v>27</v>
      </c>
      <c r="J68" s="6">
        <v>45989.0</v>
      </c>
      <c r="K68" s="6">
        <v>46036.0</v>
      </c>
      <c r="L68" s="6"/>
      <c r="M68" s="5" t="s">
        <v>236</v>
      </c>
      <c r="N68" s="5" t="s">
        <v>237</v>
      </c>
      <c r="O68" s="5" t="s">
        <v>182</v>
      </c>
      <c r="P68" s="5" t="s">
        <v>29</v>
      </c>
      <c r="Q68" s="8">
        <v>0.2</v>
      </c>
      <c r="R68" s="5" t="s">
        <v>238</v>
      </c>
      <c r="S68" s="7"/>
    </row>
    <row r="69" ht="15.75" customHeight="1">
      <c r="A69" s="18" t="s">
        <v>239</v>
      </c>
      <c r="B69" s="5" t="s">
        <v>20</v>
      </c>
      <c r="C69" s="5" t="s">
        <v>21</v>
      </c>
      <c r="D69" s="5" t="s">
        <v>89</v>
      </c>
      <c r="E69" s="5" t="s">
        <v>23</v>
      </c>
      <c r="F69" s="5" t="s">
        <v>33</v>
      </c>
      <c r="G69" s="5" t="s">
        <v>40</v>
      </c>
      <c r="H69" s="5" t="s">
        <v>26</v>
      </c>
      <c r="I69" s="5" t="s">
        <v>27</v>
      </c>
      <c r="J69" s="6">
        <v>45989.0</v>
      </c>
      <c r="K69" s="6">
        <v>45996.0</v>
      </c>
      <c r="L69" s="6"/>
      <c r="M69" s="7"/>
      <c r="N69" s="7"/>
      <c r="O69" s="7"/>
      <c r="P69" s="5" t="s">
        <v>29</v>
      </c>
      <c r="Q69" s="8">
        <v>0.2</v>
      </c>
      <c r="R69" s="5" t="s">
        <v>240</v>
      </c>
      <c r="S69" s="7"/>
    </row>
    <row r="70" ht="15.75" customHeight="1">
      <c r="A70" s="5" t="s">
        <v>241</v>
      </c>
      <c r="B70" s="5" t="s">
        <v>20</v>
      </c>
      <c r="C70" s="5" t="s">
        <v>21</v>
      </c>
      <c r="D70" s="5" t="s">
        <v>89</v>
      </c>
      <c r="E70" s="5" t="s">
        <v>23</v>
      </c>
      <c r="F70" s="5" t="s">
        <v>24</v>
      </c>
      <c r="G70" s="5" t="s">
        <v>40</v>
      </c>
      <c r="H70" s="5" t="s">
        <v>26</v>
      </c>
      <c r="I70" s="5" t="s">
        <v>190</v>
      </c>
      <c r="J70" s="6">
        <v>45989.0</v>
      </c>
      <c r="K70" s="6">
        <v>45996.0</v>
      </c>
      <c r="L70" s="6"/>
      <c r="M70" s="7"/>
      <c r="N70" s="7"/>
      <c r="O70" s="7"/>
      <c r="P70" s="5" t="s">
        <v>29</v>
      </c>
      <c r="Q70" s="8">
        <v>0.2</v>
      </c>
      <c r="R70" s="5" t="s">
        <v>242</v>
      </c>
      <c r="S70" s="7"/>
    </row>
    <row r="71" ht="15.75" customHeight="1">
      <c r="A71" s="5" t="s">
        <v>243</v>
      </c>
      <c r="B71" s="5" t="s">
        <v>20</v>
      </c>
      <c r="C71" s="5" t="s">
        <v>21</v>
      </c>
      <c r="D71" s="5" t="s">
        <v>89</v>
      </c>
      <c r="E71" s="5" t="s">
        <v>23</v>
      </c>
      <c r="F71" s="5" t="s">
        <v>33</v>
      </c>
      <c r="G71" s="5" t="s">
        <v>40</v>
      </c>
      <c r="H71" s="5" t="s">
        <v>26</v>
      </c>
      <c r="I71" s="5" t="s">
        <v>190</v>
      </c>
      <c r="J71" s="6">
        <v>45989.0</v>
      </c>
      <c r="K71" s="6">
        <v>45996.0</v>
      </c>
      <c r="L71" s="6"/>
      <c r="M71" s="7"/>
      <c r="N71" s="7"/>
      <c r="O71" s="7"/>
      <c r="P71" s="5" t="s">
        <v>29</v>
      </c>
      <c r="Q71" s="8">
        <v>0.2</v>
      </c>
      <c r="R71" s="5" t="s">
        <v>244</v>
      </c>
      <c r="S71" s="7"/>
    </row>
    <row r="72" ht="15.75" customHeight="1">
      <c r="A72" s="5" t="s">
        <v>245</v>
      </c>
      <c r="B72" s="5" t="s">
        <v>20</v>
      </c>
      <c r="C72" s="5" t="s">
        <v>21</v>
      </c>
      <c r="D72" s="5" t="s">
        <v>89</v>
      </c>
      <c r="E72" s="5" t="s">
        <v>23</v>
      </c>
      <c r="F72" s="5" t="s">
        <v>24</v>
      </c>
      <c r="G72" s="5" t="s">
        <v>40</v>
      </c>
      <c r="H72" s="5" t="s">
        <v>26</v>
      </c>
      <c r="I72" s="5" t="s">
        <v>190</v>
      </c>
      <c r="J72" s="6">
        <v>45989.0</v>
      </c>
      <c r="K72" s="6">
        <v>45996.0</v>
      </c>
      <c r="L72" s="6"/>
      <c r="M72" s="7"/>
      <c r="N72" s="7"/>
      <c r="O72" s="7"/>
      <c r="P72" s="5" t="s">
        <v>29</v>
      </c>
      <c r="Q72" s="8">
        <v>0.2</v>
      </c>
      <c r="R72" s="5" t="s">
        <v>246</v>
      </c>
      <c r="S72" s="7"/>
    </row>
    <row r="73" ht="15.75" customHeight="1">
      <c r="A73" s="19" t="s">
        <v>247</v>
      </c>
      <c r="B73" s="5" t="s">
        <v>47</v>
      </c>
      <c r="C73" s="5" t="s">
        <v>21</v>
      </c>
      <c r="D73" s="5" t="s">
        <v>89</v>
      </c>
      <c r="E73" s="5" t="s">
        <v>23</v>
      </c>
      <c r="F73" s="5" t="s">
        <v>33</v>
      </c>
      <c r="G73" s="5" t="s">
        <v>40</v>
      </c>
      <c r="H73" s="5" t="s">
        <v>26</v>
      </c>
      <c r="I73" s="5" t="s">
        <v>27</v>
      </c>
      <c r="J73" s="6">
        <v>45989.0</v>
      </c>
      <c r="K73" s="6">
        <v>45996.0</v>
      </c>
      <c r="L73" s="6"/>
      <c r="M73" s="7"/>
      <c r="N73" s="7"/>
      <c r="O73" s="7"/>
      <c r="P73" s="5" t="s">
        <v>29</v>
      </c>
      <c r="Q73" s="8">
        <v>0.3</v>
      </c>
      <c r="R73" s="5" t="s">
        <v>248</v>
      </c>
      <c r="S73" s="5" t="s">
        <v>249</v>
      </c>
    </row>
    <row r="74" ht="15.75" customHeight="1">
      <c r="A74" s="5" t="s">
        <v>250</v>
      </c>
      <c r="B74" s="5" t="s">
        <v>36</v>
      </c>
      <c r="C74" s="5" t="s">
        <v>21</v>
      </c>
      <c r="D74" s="5" t="s">
        <v>89</v>
      </c>
      <c r="E74" s="5" t="s">
        <v>23</v>
      </c>
      <c r="F74" s="5" t="s">
        <v>63</v>
      </c>
      <c r="G74" s="5" t="s">
        <v>40</v>
      </c>
      <c r="H74" s="5" t="s">
        <v>26</v>
      </c>
      <c r="I74" s="5" t="s">
        <v>27</v>
      </c>
      <c r="J74" s="6">
        <v>45989.0</v>
      </c>
      <c r="K74" s="6">
        <v>45996.0</v>
      </c>
      <c r="L74" s="6"/>
      <c r="M74" s="7"/>
      <c r="N74" s="7"/>
      <c r="O74" s="7"/>
      <c r="P74" s="5" t="s">
        <v>29</v>
      </c>
      <c r="Q74" s="8">
        <v>0.2</v>
      </c>
      <c r="R74" s="5" t="s">
        <v>251</v>
      </c>
      <c r="S74" s="7"/>
    </row>
    <row r="75" ht="15.75" customHeight="1">
      <c r="A75" s="5" t="s">
        <v>252</v>
      </c>
      <c r="B75" s="5" t="s">
        <v>36</v>
      </c>
      <c r="C75" s="5" t="s">
        <v>21</v>
      </c>
      <c r="D75" s="5" t="s">
        <v>89</v>
      </c>
      <c r="E75" s="5" t="s">
        <v>23</v>
      </c>
      <c r="F75" s="5" t="s">
        <v>33</v>
      </c>
      <c r="G75" s="5" t="s">
        <v>40</v>
      </c>
      <c r="H75" s="5" t="s">
        <v>26</v>
      </c>
      <c r="I75" s="5" t="s">
        <v>27</v>
      </c>
      <c r="J75" s="6">
        <v>45993.0</v>
      </c>
      <c r="K75" s="6">
        <v>45996.0</v>
      </c>
      <c r="L75" s="6"/>
      <c r="M75" s="7"/>
      <c r="N75" s="7"/>
      <c r="O75" s="7"/>
      <c r="P75" s="5" t="s">
        <v>29</v>
      </c>
      <c r="Q75" s="8">
        <v>0.2</v>
      </c>
      <c r="R75" s="5" t="s">
        <v>253</v>
      </c>
      <c r="S75" s="7"/>
    </row>
    <row r="76" ht="15.75" customHeight="1">
      <c r="A76" s="5" t="s">
        <v>254</v>
      </c>
      <c r="B76" s="5" t="s">
        <v>36</v>
      </c>
      <c r="C76" s="5" t="s">
        <v>21</v>
      </c>
      <c r="D76" s="5" t="s">
        <v>89</v>
      </c>
      <c r="E76" s="5" t="s">
        <v>23</v>
      </c>
      <c r="F76" s="5" t="s">
        <v>33</v>
      </c>
      <c r="G76" s="5" t="s">
        <v>40</v>
      </c>
      <c r="H76" s="5" t="s">
        <v>26</v>
      </c>
      <c r="I76" s="5" t="s">
        <v>27</v>
      </c>
      <c r="J76" s="6">
        <v>45993.0</v>
      </c>
      <c r="K76" s="6">
        <v>45996.0</v>
      </c>
      <c r="L76" s="6"/>
      <c r="M76" s="7"/>
      <c r="N76" s="7"/>
      <c r="O76" s="7"/>
      <c r="P76" s="5" t="s">
        <v>29</v>
      </c>
      <c r="Q76" s="8">
        <v>0.2</v>
      </c>
      <c r="R76" s="5" t="s">
        <v>255</v>
      </c>
      <c r="S76" s="7"/>
    </row>
    <row r="77" ht="15.75" customHeight="1">
      <c r="A77" s="5" t="s">
        <v>256</v>
      </c>
      <c r="B77" s="5" t="s">
        <v>20</v>
      </c>
      <c r="C77" s="5" t="s">
        <v>50</v>
      </c>
      <c r="D77" s="5" t="s">
        <v>89</v>
      </c>
      <c r="E77" s="5" t="s">
        <v>23</v>
      </c>
      <c r="F77" s="5" t="s">
        <v>63</v>
      </c>
      <c r="G77" s="5" t="s">
        <v>257</v>
      </c>
      <c r="H77" s="5" t="s">
        <v>80</v>
      </c>
      <c r="I77" s="5" t="s">
        <v>42</v>
      </c>
      <c r="J77" s="6">
        <v>45996.0</v>
      </c>
      <c r="K77" s="6">
        <v>46038.0</v>
      </c>
      <c r="L77" s="6">
        <v>46132.0</v>
      </c>
      <c r="M77" s="5" t="s">
        <v>258</v>
      </c>
      <c r="N77" s="7"/>
      <c r="O77" s="5" t="s">
        <v>259</v>
      </c>
      <c r="P77" s="5" t="s">
        <v>54</v>
      </c>
      <c r="Q77" s="8">
        <v>0.2</v>
      </c>
      <c r="R77" s="5" t="s">
        <v>260</v>
      </c>
      <c r="S77" s="7"/>
    </row>
    <row r="78" ht="15.75" customHeight="1">
      <c r="A78" s="20" t="s">
        <v>261</v>
      </c>
      <c r="B78" s="5" t="s">
        <v>20</v>
      </c>
      <c r="C78" s="5" t="s">
        <v>21</v>
      </c>
      <c r="D78" s="5" t="s">
        <v>89</v>
      </c>
      <c r="E78" s="5" t="s">
        <v>90</v>
      </c>
      <c r="F78" s="5" t="s">
        <v>63</v>
      </c>
      <c r="G78" s="7"/>
      <c r="H78" s="7"/>
      <c r="I78" s="7"/>
      <c r="J78" s="6">
        <v>46014.0</v>
      </c>
      <c r="K78" s="14"/>
      <c r="L78" s="6"/>
      <c r="M78" s="7"/>
      <c r="N78" s="7"/>
      <c r="O78" s="7"/>
      <c r="P78" s="7"/>
      <c r="Q78" s="21"/>
      <c r="R78" s="7"/>
      <c r="S78" s="7"/>
    </row>
    <row r="79" ht="15.75" customHeight="1">
      <c r="A79" s="5" t="s">
        <v>262</v>
      </c>
      <c r="B79" s="5" t="s">
        <v>20</v>
      </c>
      <c r="C79" s="5" t="s">
        <v>50</v>
      </c>
      <c r="D79" s="5" t="s">
        <v>89</v>
      </c>
      <c r="E79" s="5" t="s">
        <v>90</v>
      </c>
      <c r="F79" s="5" t="s">
        <v>63</v>
      </c>
      <c r="G79" s="7"/>
      <c r="H79" s="7"/>
      <c r="I79" s="7"/>
      <c r="J79" s="6">
        <v>46014.0</v>
      </c>
      <c r="K79" s="14"/>
      <c r="L79" s="6"/>
      <c r="M79" s="7"/>
      <c r="N79" s="7"/>
      <c r="O79" s="7"/>
      <c r="P79" s="7"/>
      <c r="Q79" s="21"/>
      <c r="R79" s="7"/>
      <c r="S79" s="7"/>
    </row>
    <row r="80" ht="15.75" customHeight="1">
      <c r="A80" s="22" t="s">
        <v>263</v>
      </c>
      <c r="B80" s="5" t="s">
        <v>20</v>
      </c>
      <c r="C80" s="5" t="s">
        <v>50</v>
      </c>
      <c r="D80" s="5" t="s">
        <v>89</v>
      </c>
      <c r="E80" s="5" t="s">
        <v>90</v>
      </c>
      <c r="F80" s="5" t="s">
        <v>63</v>
      </c>
      <c r="G80" s="7"/>
      <c r="H80" s="7"/>
      <c r="I80" s="7"/>
      <c r="J80" s="6">
        <v>46014.0</v>
      </c>
      <c r="K80" s="14"/>
      <c r="L80" s="6"/>
      <c r="M80" s="7"/>
      <c r="N80" s="7"/>
      <c r="O80" s="7"/>
      <c r="P80" s="7"/>
      <c r="Q80" s="21"/>
      <c r="R80" s="7"/>
      <c r="S80" s="7"/>
    </row>
    <row r="81" ht="15.75" customHeight="1">
      <c r="A81" s="5" t="s">
        <v>264</v>
      </c>
      <c r="B81" s="5" t="s">
        <v>20</v>
      </c>
      <c r="C81" s="5" t="s">
        <v>21</v>
      </c>
      <c r="D81" s="5" t="s">
        <v>89</v>
      </c>
      <c r="E81" s="5" t="s">
        <v>23</v>
      </c>
      <c r="F81" s="5" t="s">
        <v>63</v>
      </c>
      <c r="G81" s="5" t="s">
        <v>40</v>
      </c>
      <c r="H81" s="5" t="s">
        <v>26</v>
      </c>
      <c r="I81" s="5" t="s">
        <v>42</v>
      </c>
      <c r="J81" s="6">
        <v>46041.0</v>
      </c>
      <c r="K81" s="6">
        <v>46048.0</v>
      </c>
      <c r="L81" s="6"/>
      <c r="M81" s="7"/>
      <c r="N81" s="7"/>
      <c r="O81" s="7"/>
      <c r="P81" s="5" t="s">
        <v>58</v>
      </c>
      <c r="Q81" s="8">
        <v>0.1</v>
      </c>
      <c r="R81" s="5" t="s">
        <v>265</v>
      </c>
      <c r="S81" s="23" t="s">
        <v>266</v>
      </c>
    </row>
    <row r="82" ht="15.75" customHeight="1">
      <c r="A82" s="5" t="s">
        <v>267</v>
      </c>
      <c r="B82" s="5" t="s">
        <v>47</v>
      </c>
      <c r="C82" s="5" t="s">
        <v>21</v>
      </c>
      <c r="D82" s="5" t="s">
        <v>89</v>
      </c>
      <c r="E82" s="5" t="s">
        <v>23</v>
      </c>
      <c r="F82" s="5" t="s">
        <v>63</v>
      </c>
      <c r="G82" s="5" t="s">
        <v>40</v>
      </c>
      <c r="H82" s="5" t="s">
        <v>80</v>
      </c>
      <c r="I82" s="5" t="s">
        <v>42</v>
      </c>
      <c r="J82" s="6">
        <v>46041.0</v>
      </c>
      <c r="K82" s="6">
        <v>46048.0</v>
      </c>
      <c r="L82" s="6">
        <v>46193.0</v>
      </c>
      <c r="M82" s="15" t="s">
        <v>268</v>
      </c>
      <c r="N82" s="15" t="s">
        <v>269</v>
      </c>
      <c r="O82" s="5" t="s">
        <v>270</v>
      </c>
      <c r="P82" s="5" t="s">
        <v>58</v>
      </c>
      <c r="Q82" s="8">
        <v>0.2</v>
      </c>
      <c r="R82" s="5" t="s">
        <v>271</v>
      </c>
      <c r="S82" s="23" t="s">
        <v>272</v>
      </c>
    </row>
    <row r="83" ht="15.75" customHeight="1">
      <c r="A83" s="5" t="s">
        <v>273</v>
      </c>
      <c r="B83" s="5" t="s">
        <v>20</v>
      </c>
      <c r="C83" s="5" t="s">
        <v>21</v>
      </c>
      <c r="D83" s="5" t="s">
        <v>89</v>
      </c>
      <c r="E83" s="5" t="s">
        <v>23</v>
      </c>
      <c r="F83" s="5" t="s">
        <v>63</v>
      </c>
      <c r="G83" s="5" t="s">
        <v>25</v>
      </c>
      <c r="H83" s="5" t="s">
        <v>26</v>
      </c>
      <c r="I83" s="5" t="s">
        <v>42</v>
      </c>
      <c r="J83" s="6">
        <v>46041.0</v>
      </c>
      <c r="K83" s="6">
        <v>46055.0</v>
      </c>
      <c r="L83" s="6"/>
      <c r="M83" s="15"/>
      <c r="N83" s="7"/>
      <c r="O83" s="5" t="s">
        <v>274</v>
      </c>
      <c r="P83" s="5" t="s">
        <v>58</v>
      </c>
      <c r="Q83" s="8">
        <v>0.2</v>
      </c>
      <c r="R83" s="5" t="s">
        <v>275</v>
      </c>
      <c r="S83" s="7"/>
    </row>
    <row r="84" ht="15.75" customHeight="1">
      <c r="A84" s="5" t="s">
        <v>276</v>
      </c>
      <c r="B84" s="5" t="s">
        <v>20</v>
      </c>
      <c r="C84" s="5" t="s">
        <v>21</v>
      </c>
      <c r="D84" s="5" t="s">
        <v>89</v>
      </c>
      <c r="E84" s="5" t="s">
        <v>23</v>
      </c>
      <c r="F84" s="5" t="s">
        <v>33</v>
      </c>
      <c r="G84" s="5" t="s">
        <v>25</v>
      </c>
      <c r="H84" s="5" t="s">
        <v>26</v>
      </c>
      <c r="I84" s="5" t="s">
        <v>27</v>
      </c>
      <c r="J84" s="6">
        <v>46041.0</v>
      </c>
      <c r="K84" s="6">
        <v>46055.0</v>
      </c>
      <c r="L84" s="6"/>
      <c r="M84" s="7"/>
      <c r="N84" s="7"/>
      <c r="O84" s="5" t="s">
        <v>277</v>
      </c>
      <c r="P84" s="5" t="s">
        <v>209</v>
      </c>
      <c r="Q84" s="8">
        <v>0.2</v>
      </c>
      <c r="R84" s="5" t="s">
        <v>278</v>
      </c>
      <c r="S84" s="7"/>
    </row>
    <row r="85" ht="15.75" customHeight="1">
      <c r="A85" s="5" t="s">
        <v>279</v>
      </c>
      <c r="B85" s="5" t="s">
        <v>20</v>
      </c>
      <c r="C85" s="5" t="s">
        <v>21</v>
      </c>
      <c r="D85" s="5" t="s">
        <v>89</v>
      </c>
      <c r="E85" s="5" t="s">
        <v>23</v>
      </c>
      <c r="F85" s="5" t="s">
        <v>33</v>
      </c>
      <c r="G85" s="5" t="s">
        <v>40</v>
      </c>
      <c r="H85" s="5" t="s">
        <v>26</v>
      </c>
      <c r="I85" s="5" t="s">
        <v>27</v>
      </c>
      <c r="J85" s="6">
        <v>46041.0</v>
      </c>
      <c r="K85" s="6">
        <v>46048.0</v>
      </c>
      <c r="L85" s="6"/>
      <c r="M85" s="7"/>
      <c r="N85" s="7"/>
      <c r="O85" s="5" t="s">
        <v>280</v>
      </c>
      <c r="P85" s="5" t="s">
        <v>209</v>
      </c>
      <c r="Q85" s="8">
        <v>0.2</v>
      </c>
      <c r="R85" s="5" t="s">
        <v>281</v>
      </c>
      <c r="S85" s="7"/>
    </row>
    <row r="86" ht="15.75" customHeight="1">
      <c r="A86" s="5" t="s">
        <v>282</v>
      </c>
      <c r="B86" s="5" t="s">
        <v>20</v>
      </c>
      <c r="C86" s="5" t="s">
        <v>21</v>
      </c>
      <c r="D86" s="5" t="s">
        <v>89</v>
      </c>
      <c r="E86" s="5" t="s">
        <v>23</v>
      </c>
      <c r="F86" s="5" t="s">
        <v>33</v>
      </c>
      <c r="G86" s="5" t="s">
        <v>25</v>
      </c>
      <c r="H86" s="5" t="s">
        <v>26</v>
      </c>
      <c r="I86" s="5" t="s">
        <v>27</v>
      </c>
      <c r="J86" s="6">
        <v>46041.0</v>
      </c>
      <c r="K86" s="6">
        <v>46055.0</v>
      </c>
      <c r="L86" s="6"/>
      <c r="M86" s="7"/>
      <c r="N86" s="7"/>
      <c r="O86" s="7"/>
      <c r="P86" s="5" t="s">
        <v>29</v>
      </c>
      <c r="Q86" s="8">
        <v>0.2</v>
      </c>
      <c r="R86" s="5" t="s">
        <v>283</v>
      </c>
      <c r="S86" s="7"/>
    </row>
    <row r="87" ht="15.75" customHeight="1">
      <c r="A87" s="5" t="s">
        <v>284</v>
      </c>
      <c r="B87" s="5" t="s">
        <v>20</v>
      </c>
      <c r="C87" s="5" t="s">
        <v>21</v>
      </c>
      <c r="D87" s="5" t="s">
        <v>89</v>
      </c>
      <c r="E87" s="5" t="s">
        <v>23</v>
      </c>
      <c r="F87" s="5" t="s">
        <v>24</v>
      </c>
      <c r="G87" s="5" t="s">
        <v>40</v>
      </c>
      <c r="H87" s="5" t="s">
        <v>26</v>
      </c>
      <c r="I87" s="5" t="s">
        <v>190</v>
      </c>
      <c r="J87" s="6">
        <v>46049.0</v>
      </c>
      <c r="K87" s="6">
        <v>46059.0</v>
      </c>
      <c r="L87" s="6"/>
      <c r="M87" s="7"/>
      <c r="N87" s="7"/>
      <c r="O87" s="7"/>
      <c r="P87" s="5" t="s">
        <v>29</v>
      </c>
      <c r="Q87" s="8">
        <v>0.2</v>
      </c>
      <c r="R87" s="24" t="s">
        <v>285</v>
      </c>
      <c r="S87" s="23" t="s">
        <v>286</v>
      </c>
    </row>
    <row r="88" ht="15.75" customHeight="1">
      <c r="A88" s="5" t="s">
        <v>287</v>
      </c>
      <c r="B88" s="5" t="s">
        <v>20</v>
      </c>
      <c r="C88" s="5" t="s">
        <v>21</v>
      </c>
      <c r="D88" s="5" t="s">
        <v>89</v>
      </c>
      <c r="E88" s="5" t="s">
        <v>23</v>
      </c>
      <c r="F88" s="5" t="s">
        <v>63</v>
      </c>
      <c r="G88" s="5" t="s">
        <v>40</v>
      </c>
      <c r="H88" s="5" t="s">
        <v>26</v>
      </c>
      <c r="I88" s="5" t="s">
        <v>27</v>
      </c>
      <c r="J88" s="6">
        <v>46050.0</v>
      </c>
      <c r="K88" s="6">
        <v>46056.0</v>
      </c>
      <c r="L88" s="6">
        <v>46127.0</v>
      </c>
      <c r="M88" s="5" t="s">
        <v>208</v>
      </c>
      <c r="N88" s="7"/>
      <c r="O88" s="5" t="s">
        <v>288</v>
      </c>
      <c r="P88" s="5" t="s">
        <v>209</v>
      </c>
      <c r="Q88" s="8">
        <v>0.2</v>
      </c>
      <c r="R88" s="16" t="s">
        <v>289</v>
      </c>
      <c r="S88" s="25" t="s">
        <v>290</v>
      </c>
    </row>
    <row r="89" ht="15.75" customHeight="1">
      <c r="A89" s="5" t="s">
        <v>291</v>
      </c>
      <c r="B89" s="5" t="s">
        <v>20</v>
      </c>
      <c r="C89" s="5" t="s">
        <v>21</v>
      </c>
      <c r="D89" s="5" t="s">
        <v>89</v>
      </c>
      <c r="E89" s="5" t="s">
        <v>23</v>
      </c>
      <c r="F89" s="5" t="s">
        <v>33</v>
      </c>
      <c r="G89" s="5" t="s">
        <v>40</v>
      </c>
      <c r="H89" s="5" t="s">
        <v>26</v>
      </c>
      <c r="I89" s="5" t="s">
        <v>27</v>
      </c>
      <c r="J89" s="6">
        <v>46050.0</v>
      </c>
      <c r="K89" s="6">
        <v>46056.0</v>
      </c>
      <c r="L89" s="6"/>
      <c r="M89" s="7"/>
      <c r="N89" s="7"/>
      <c r="O89" s="5" t="s">
        <v>288</v>
      </c>
      <c r="P89" s="5" t="s">
        <v>209</v>
      </c>
      <c r="Q89" s="8">
        <v>0.2</v>
      </c>
      <c r="R89" s="5" t="s">
        <v>292</v>
      </c>
      <c r="S89" s="15" t="s">
        <v>293</v>
      </c>
    </row>
    <row r="90" ht="15.75" customHeight="1">
      <c r="A90" s="5" t="s">
        <v>294</v>
      </c>
      <c r="B90" s="5" t="s">
        <v>20</v>
      </c>
      <c r="C90" s="5" t="s">
        <v>21</v>
      </c>
      <c r="D90" s="5" t="s">
        <v>89</v>
      </c>
      <c r="E90" s="5" t="s">
        <v>23</v>
      </c>
      <c r="F90" s="5" t="s">
        <v>24</v>
      </c>
      <c r="G90" s="5" t="s">
        <v>40</v>
      </c>
      <c r="H90" s="5" t="s">
        <v>26</v>
      </c>
      <c r="I90" s="5" t="s">
        <v>190</v>
      </c>
      <c r="J90" s="6">
        <v>46050.0</v>
      </c>
      <c r="K90" s="6">
        <v>46056.0</v>
      </c>
      <c r="L90" s="6"/>
      <c r="M90" s="7"/>
      <c r="N90" s="7"/>
      <c r="O90" s="5" t="s">
        <v>288</v>
      </c>
      <c r="P90" s="5" t="s">
        <v>209</v>
      </c>
      <c r="Q90" s="8">
        <v>0.2</v>
      </c>
      <c r="R90" s="5" t="s">
        <v>295</v>
      </c>
      <c r="S90" s="15" t="s">
        <v>296</v>
      </c>
    </row>
    <row r="91" ht="15.75" customHeight="1">
      <c r="A91" s="5" t="s">
        <v>297</v>
      </c>
      <c r="B91" s="5" t="s">
        <v>20</v>
      </c>
      <c r="C91" s="5" t="s">
        <v>21</v>
      </c>
      <c r="D91" s="5" t="s">
        <v>89</v>
      </c>
      <c r="E91" s="5" t="s">
        <v>23</v>
      </c>
      <c r="F91" s="5" t="s">
        <v>33</v>
      </c>
      <c r="G91" s="5" t="s">
        <v>40</v>
      </c>
      <c r="H91" s="5" t="s">
        <v>26</v>
      </c>
      <c r="I91" s="5" t="s">
        <v>27</v>
      </c>
      <c r="J91" s="6">
        <v>46050.0</v>
      </c>
      <c r="K91" s="6">
        <v>46056.0</v>
      </c>
      <c r="L91" s="6"/>
      <c r="M91" s="7"/>
      <c r="N91" s="7"/>
      <c r="O91" s="5" t="s">
        <v>288</v>
      </c>
      <c r="P91" s="5" t="s">
        <v>209</v>
      </c>
      <c r="Q91" s="8">
        <v>0.2</v>
      </c>
      <c r="R91" s="5" t="s">
        <v>298</v>
      </c>
      <c r="S91" s="15" t="s">
        <v>299</v>
      </c>
    </row>
    <row r="92" ht="15.75" customHeight="1">
      <c r="A92" s="5" t="s">
        <v>300</v>
      </c>
      <c r="B92" s="5" t="s">
        <v>47</v>
      </c>
      <c r="C92" s="5" t="s">
        <v>21</v>
      </c>
      <c r="D92" s="5" t="s">
        <v>89</v>
      </c>
      <c r="E92" s="5" t="s">
        <v>23</v>
      </c>
      <c r="F92" s="5" t="s">
        <v>33</v>
      </c>
      <c r="G92" s="5" t="s">
        <v>40</v>
      </c>
      <c r="H92" s="5" t="s">
        <v>26</v>
      </c>
      <c r="I92" s="5" t="s">
        <v>27</v>
      </c>
      <c r="J92" s="6">
        <v>46050.0</v>
      </c>
      <c r="K92" s="6">
        <v>46056.0</v>
      </c>
      <c r="L92" s="6"/>
      <c r="M92" s="7"/>
      <c r="N92" s="7"/>
      <c r="O92" s="5" t="s">
        <v>288</v>
      </c>
      <c r="P92" s="5" t="s">
        <v>209</v>
      </c>
      <c r="Q92" s="8">
        <v>0.2</v>
      </c>
      <c r="R92" s="5" t="s">
        <v>301</v>
      </c>
      <c r="S92" s="26" t="s">
        <v>302</v>
      </c>
    </row>
    <row r="93" ht="15.75" customHeight="1">
      <c r="A93" s="5" t="s">
        <v>303</v>
      </c>
      <c r="B93" s="5" t="s">
        <v>47</v>
      </c>
      <c r="C93" s="5" t="s">
        <v>21</v>
      </c>
      <c r="D93" s="5" t="s">
        <v>89</v>
      </c>
      <c r="E93" s="5" t="s">
        <v>23</v>
      </c>
      <c r="F93" s="5" t="s">
        <v>33</v>
      </c>
      <c r="G93" s="5" t="s">
        <v>40</v>
      </c>
      <c r="H93" s="5" t="s">
        <v>26</v>
      </c>
      <c r="I93" s="5" t="s">
        <v>27</v>
      </c>
      <c r="J93" s="6">
        <v>46050.0</v>
      </c>
      <c r="K93" s="6">
        <v>46056.0</v>
      </c>
      <c r="L93" s="6"/>
      <c r="M93" s="7"/>
      <c r="N93" s="7"/>
      <c r="O93" s="5" t="s">
        <v>288</v>
      </c>
      <c r="P93" s="5" t="s">
        <v>209</v>
      </c>
      <c r="Q93" s="8">
        <v>0.3</v>
      </c>
      <c r="R93" s="5" t="s">
        <v>304</v>
      </c>
      <c r="S93" s="7"/>
    </row>
    <row r="94" ht="15.75" customHeight="1">
      <c r="A94" s="5" t="s">
        <v>305</v>
      </c>
      <c r="B94" s="5" t="s">
        <v>20</v>
      </c>
      <c r="C94" s="5" t="s">
        <v>21</v>
      </c>
      <c r="D94" s="5" t="s">
        <v>89</v>
      </c>
      <c r="E94" s="5" t="s">
        <v>23</v>
      </c>
      <c r="F94" s="5" t="s">
        <v>33</v>
      </c>
      <c r="G94" s="5" t="s">
        <v>40</v>
      </c>
      <c r="H94" s="5" t="s">
        <v>26</v>
      </c>
      <c r="I94" s="5" t="s">
        <v>27</v>
      </c>
      <c r="J94" s="6">
        <v>46050.0</v>
      </c>
      <c r="K94" s="6">
        <v>46056.0</v>
      </c>
      <c r="L94" s="6"/>
      <c r="M94" s="7"/>
      <c r="N94" s="7"/>
      <c r="O94" s="5" t="s">
        <v>288</v>
      </c>
      <c r="P94" s="5" t="s">
        <v>209</v>
      </c>
      <c r="Q94" s="8">
        <v>0.2</v>
      </c>
      <c r="R94" s="27" t="s">
        <v>306</v>
      </c>
      <c r="S94" s="7"/>
    </row>
    <row r="95" ht="15.75" customHeight="1">
      <c r="A95" s="5" t="s">
        <v>307</v>
      </c>
      <c r="B95" s="5" t="s">
        <v>20</v>
      </c>
      <c r="C95" s="5" t="s">
        <v>21</v>
      </c>
      <c r="D95" s="5" t="s">
        <v>89</v>
      </c>
      <c r="E95" s="5" t="s">
        <v>23</v>
      </c>
      <c r="F95" s="5" t="s">
        <v>24</v>
      </c>
      <c r="G95" s="5" t="s">
        <v>40</v>
      </c>
      <c r="H95" s="5" t="s">
        <v>26</v>
      </c>
      <c r="I95" s="5" t="s">
        <v>27</v>
      </c>
      <c r="J95" s="6">
        <v>46050.0</v>
      </c>
      <c r="K95" s="6">
        <v>46056.0</v>
      </c>
      <c r="L95" s="6"/>
      <c r="M95" s="7"/>
      <c r="N95" s="7"/>
      <c r="O95" s="5" t="s">
        <v>288</v>
      </c>
      <c r="P95" s="5" t="s">
        <v>209</v>
      </c>
      <c r="Q95" s="8">
        <v>0.2</v>
      </c>
      <c r="R95" s="28" t="s">
        <v>308</v>
      </c>
      <c r="S95" s="29" t="s">
        <v>309</v>
      </c>
    </row>
    <row r="96" ht="15.75" customHeight="1">
      <c r="A96" s="5" t="s">
        <v>310</v>
      </c>
      <c r="B96" s="5" t="s">
        <v>20</v>
      </c>
      <c r="C96" s="5" t="s">
        <v>21</v>
      </c>
      <c r="D96" s="5" t="s">
        <v>89</v>
      </c>
      <c r="E96" s="5" t="s">
        <v>23</v>
      </c>
      <c r="F96" s="5" t="s">
        <v>24</v>
      </c>
      <c r="G96" s="5" t="s">
        <v>40</v>
      </c>
      <c r="H96" s="5" t="s">
        <v>26</v>
      </c>
      <c r="I96" s="5" t="s">
        <v>27</v>
      </c>
      <c r="J96" s="6">
        <v>46050.0</v>
      </c>
      <c r="K96" s="6">
        <v>46056.0</v>
      </c>
      <c r="L96" s="6"/>
      <c r="M96" s="7"/>
      <c r="N96" s="7"/>
      <c r="O96" s="5" t="s">
        <v>288</v>
      </c>
      <c r="P96" s="5" t="s">
        <v>209</v>
      </c>
      <c r="Q96" s="8">
        <v>0.1</v>
      </c>
      <c r="R96" s="5" t="s">
        <v>311</v>
      </c>
      <c r="S96" s="7"/>
    </row>
    <row r="97" ht="15.75" customHeight="1">
      <c r="A97" s="5" t="s">
        <v>312</v>
      </c>
      <c r="B97" s="5" t="s">
        <v>20</v>
      </c>
      <c r="C97" s="5" t="s">
        <v>21</v>
      </c>
      <c r="D97" s="5" t="s">
        <v>89</v>
      </c>
      <c r="E97" s="5" t="s">
        <v>23</v>
      </c>
      <c r="F97" s="5" t="s">
        <v>24</v>
      </c>
      <c r="G97" s="5" t="s">
        <v>40</v>
      </c>
      <c r="H97" s="5" t="s">
        <v>26</v>
      </c>
      <c r="I97" s="5" t="s">
        <v>190</v>
      </c>
      <c r="J97" s="6">
        <v>46050.0</v>
      </c>
      <c r="K97" s="6">
        <v>46056.0</v>
      </c>
      <c r="L97" s="6"/>
      <c r="M97" s="7"/>
      <c r="N97" s="7"/>
      <c r="O97" s="5" t="s">
        <v>288</v>
      </c>
      <c r="P97" s="5" t="s">
        <v>209</v>
      </c>
      <c r="Q97" s="8">
        <v>0.1</v>
      </c>
      <c r="R97" s="5" t="s">
        <v>313</v>
      </c>
      <c r="S97" s="7"/>
    </row>
    <row r="98" ht="15.75" customHeight="1">
      <c r="A98" s="5" t="s">
        <v>314</v>
      </c>
      <c r="B98" s="5" t="s">
        <v>20</v>
      </c>
      <c r="C98" s="5" t="s">
        <v>21</v>
      </c>
      <c r="D98" s="5" t="s">
        <v>89</v>
      </c>
      <c r="E98" s="5" t="s">
        <v>23</v>
      </c>
      <c r="F98" s="5" t="s">
        <v>33</v>
      </c>
      <c r="G98" s="5" t="s">
        <v>40</v>
      </c>
      <c r="H98" s="5" t="s">
        <v>26</v>
      </c>
      <c r="I98" s="5" t="s">
        <v>27</v>
      </c>
      <c r="J98" s="6">
        <v>46050.0</v>
      </c>
      <c r="K98" s="6">
        <v>46056.0</v>
      </c>
      <c r="L98" s="6"/>
      <c r="M98" s="7"/>
      <c r="N98" s="7"/>
      <c r="O98" s="5" t="s">
        <v>288</v>
      </c>
      <c r="P98" s="5" t="s">
        <v>209</v>
      </c>
      <c r="Q98" s="8">
        <v>0.3</v>
      </c>
      <c r="R98" s="5" t="s">
        <v>315</v>
      </c>
      <c r="S98" s="7"/>
    </row>
    <row r="99" ht="15.75" customHeight="1">
      <c r="A99" s="5" t="s">
        <v>316</v>
      </c>
      <c r="B99" s="5" t="s">
        <v>20</v>
      </c>
      <c r="C99" s="5" t="s">
        <v>21</v>
      </c>
      <c r="D99" s="5" t="s">
        <v>89</v>
      </c>
      <c r="E99" s="5" t="s">
        <v>23</v>
      </c>
      <c r="F99" s="5" t="s">
        <v>33</v>
      </c>
      <c r="G99" s="5" t="s">
        <v>40</v>
      </c>
      <c r="H99" s="5" t="s">
        <v>26</v>
      </c>
      <c r="I99" s="5" t="s">
        <v>27</v>
      </c>
      <c r="J99" s="6">
        <v>46050.0</v>
      </c>
      <c r="K99" s="6">
        <v>46056.0</v>
      </c>
      <c r="L99" s="6"/>
      <c r="M99" s="7"/>
      <c r="N99" s="7"/>
      <c r="O99" s="5" t="s">
        <v>288</v>
      </c>
      <c r="P99" s="5" t="s">
        <v>209</v>
      </c>
      <c r="Q99" s="8">
        <v>0.2</v>
      </c>
      <c r="R99" s="5" t="s">
        <v>317</v>
      </c>
      <c r="S99" s="7"/>
    </row>
    <row r="100" ht="15.75" customHeight="1">
      <c r="A100" s="5" t="s">
        <v>318</v>
      </c>
      <c r="B100" s="5" t="s">
        <v>20</v>
      </c>
      <c r="C100" s="5" t="s">
        <v>21</v>
      </c>
      <c r="D100" s="5" t="s">
        <v>89</v>
      </c>
      <c r="E100" s="5" t="s">
        <v>23</v>
      </c>
      <c r="F100" s="5" t="s">
        <v>33</v>
      </c>
      <c r="G100" s="5" t="s">
        <v>319</v>
      </c>
      <c r="H100" s="5" t="s">
        <v>320</v>
      </c>
      <c r="I100" s="5" t="s">
        <v>27</v>
      </c>
      <c r="J100" s="6">
        <v>46050.0</v>
      </c>
      <c r="K100" s="6">
        <v>46064.0</v>
      </c>
      <c r="L100" s="30">
        <v>46125.0</v>
      </c>
      <c r="M100" s="5" t="s">
        <v>321</v>
      </c>
      <c r="N100" s="5" t="s">
        <v>322</v>
      </c>
      <c r="O100" s="5" t="s">
        <v>288</v>
      </c>
      <c r="P100" s="5" t="s">
        <v>54</v>
      </c>
      <c r="Q100" s="8">
        <v>0.2</v>
      </c>
      <c r="R100" s="5" t="s">
        <v>323</v>
      </c>
      <c r="S100" s="7"/>
    </row>
    <row r="101" ht="15.75" customHeight="1">
      <c r="A101" s="5" t="s">
        <v>324</v>
      </c>
      <c r="B101" s="5" t="s">
        <v>20</v>
      </c>
      <c r="C101" s="5" t="s">
        <v>21</v>
      </c>
      <c r="D101" s="5" t="s">
        <v>89</v>
      </c>
      <c r="E101" s="5" t="s">
        <v>325</v>
      </c>
      <c r="F101" s="5" t="s">
        <v>33</v>
      </c>
      <c r="G101" s="5" t="s">
        <v>326</v>
      </c>
      <c r="H101" s="5" t="s">
        <v>26</v>
      </c>
      <c r="I101" s="5" t="s">
        <v>27</v>
      </c>
      <c r="J101" s="6">
        <v>46050.0</v>
      </c>
      <c r="K101" s="6">
        <v>46050.0</v>
      </c>
      <c r="L101" s="6"/>
      <c r="M101" s="7"/>
      <c r="N101" s="7"/>
      <c r="O101" s="5" t="s">
        <v>327</v>
      </c>
      <c r="P101" s="5" t="s">
        <v>29</v>
      </c>
      <c r="Q101" s="8">
        <v>0.2</v>
      </c>
      <c r="R101" s="7"/>
      <c r="S101" s="7"/>
    </row>
    <row r="102" ht="15.75" customHeight="1">
      <c r="A102" s="22" t="s">
        <v>328</v>
      </c>
      <c r="B102" s="5" t="s">
        <v>47</v>
      </c>
      <c r="C102" s="5" t="s">
        <v>21</v>
      </c>
      <c r="D102" s="5" t="s">
        <v>89</v>
      </c>
      <c r="E102" s="5" t="s">
        <v>23</v>
      </c>
      <c r="F102" s="5" t="s">
        <v>33</v>
      </c>
      <c r="G102" s="5" t="s">
        <v>40</v>
      </c>
      <c r="H102" s="5" t="s">
        <v>26</v>
      </c>
      <c r="I102" s="5" t="s">
        <v>27</v>
      </c>
      <c r="J102" s="6">
        <v>46050.0</v>
      </c>
      <c r="K102" s="6">
        <v>46056.0</v>
      </c>
      <c r="L102" s="6"/>
      <c r="M102" s="7"/>
      <c r="N102" s="7"/>
      <c r="O102" s="5" t="s">
        <v>288</v>
      </c>
      <c r="P102" s="5" t="s">
        <v>209</v>
      </c>
      <c r="Q102" s="8">
        <v>0.1</v>
      </c>
      <c r="R102" s="5" t="s">
        <v>329</v>
      </c>
      <c r="S102" s="7"/>
    </row>
    <row r="103" ht="15.75" customHeight="1">
      <c r="A103" s="31" t="s">
        <v>330</v>
      </c>
      <c r="B103" s="5" t="s">
        <v>20</v>
      </c>
      <c r="C103" s="5" t="s">
        <v>21</v>
      </c>
      <c r="D103" s="5" t="s">
        <v>89</v>
      </c>
      <c r="E103" s="5" t="s">
        <v>23</v>
      </c>
      <c r="F103" s="5" t="s">
        <v>63</v>
      </c>
      <c r="G103" s="5" t="s">
        <v>325</v>
      </c>
      <c r="H103" s="5" t="s">
        <v>41</v>
      </c>
      <c r="I103" s="5" t="s">
        <v>42</v>
      </c>
      <c r="J103" s="6">
        <v>46072.0</v>
      </c>
      <c r="K103" s="6">
        <v>46072.0</v>
      </c>
      <c r="L103" s="6"/>
      <c r="M103" s="5" t="s">
        <v>331</v>
      </c>
      <c r="N103" s="7"/>
      <c r="O103" s="5" t="s">
        <v>332</v>
      </c>
      <c r="P103" s="5" t="s">
        <v>54</v>
      </c>
      <c r="Q103" s="8">
        <v>0.4</v>
      </c>
      <c r="R103" s="7"/>
      <c r="S103" s="7"/>
    </row>
    <row r="104" ht="15.75" customHeight="1">
      <c r="A104" s="5" t="s">
        <v>333</v>
      </c>
      <c r="B104" s="5" t="s">
        <v>20</v>
      </c>
      <c r="C104" s="5" t="s">
        <v>21</v>
      </c>
      <c r="D104" s="5" t="s">
        <v>89</v>
      </c>
      <c r="E104" s="5" t="s">
        <v>334</v>
      </c>
      <c r="F104" s="5" t="s">
        <v>63</v>
      </c>
      <c r="G104" s="5" t="s">
        <v>319</v>
      </c>
      <c r="H104" s="5" t="s">
        <v>41</v>
      </c>
      <c r="I104" s="5" t="s">
        <v>42</v>
      </c>
      <c r="J104" s="6">
        <v>46073.0</v>
      </c>
      <c r="K104" s="6">
        <v>46073.0</v>
      </c>
      <c r="L104" s="5"/>
      <c r="M104" s="5" t="s">
        <v>335</v>
      </c>
      <c r="N104" s="7"/>
      <c r="O104" s="5" t="s">
        <v>336</v>
      </c>
      <c r="P104" s="5" t="s">
        <v>54</v>
      </c>
      <c r="Q104" s="8">
        <v>0.3</v>
      </c>
      <c r="R104" s="7"/>
      <c r="S104" s="7"/>
    </row>
    <row r="105" ht="15.75" customHeight="1">
      <c r="A105" s="32" t="s">
        <v>337</v>
      </c>
      <c r="B105" s="5" t="s">
        <v>66</v>
      </c>
      <c r="C105" s="5" t="s">
        <v>50</v>
      </c>
      <c r="D105" s="5" t="s">
        <v>338</v>
      </c>
      <c r="E105" s="5" t="s">
        <v>23</v>
      </c>
      <c r="F105" s="5" t="s">
        <v>33</v>
      </c>
      <c r="G105" s="5" t="s">
        <v>79</v>
      </c>
      <c r="H105" s="5" t="s">
        <v>26</v>
      </c>
      <c r="I105" s="5" t="s">
        <v>27</v>
      </c>
      <c r="J105" s="6">
        <v>46077.0</v>
      </c>
      <c r="K105" s="6">
        <v>46077.0</v>
      </c>
      <c r="L105" s="6"/>
      <c r="M105" s="33" t="s">
        <v>339</v>
      </c>
      <c r="N105" s="7"/>
      <c r="O105" s="7"/>
      <c r="P105" s="5" t="s">
        <v>29</v>
      </c>
      <c r="Q105" s="8">
        <v>0.3</v>
      </c>
      <c r="R105" s="34" t="s">
        <v>340</v>
      </c>
      <c r="S105" s="7"/>
    </row>
    <row r="106" ht="15.75" customHeight="1">
      <c r="A106" s="5" t="s">
        <v>341</v>
      </c>
      <c r="B106" s="5" t="s">
        <v>66</v>
      </c>
      <c r="C106" s="5" t="s">
        <v>50</v>
      </c>
      <c r="D106" s="5" t="s">
        <v>338</v>
      </c>
      <c r="E106" s="5" t="s">
        <v>23</v>
      </c>
      <c r="F106" s="5" t="s">
        <v>33</v>
      </c>
      <c r="G106" s="5" t="s">
        <v>40</v>
      </c>
      <c r="H106" s="5" t="s">
        <v>26</v>
      </c>
      <c r="I106" s="5" t="s">
        <v>27</v>
      </c>
      <c r="J106" s="6">
        <v>46077.0</v>
      </c>
      <c r="K106" s="6">
        <v>46077.0</v>
      </c>
      <c r="L106" s="6"/>
      <c r="M106" s="5"/>
      <c r="N106" s="7"/>
      <c r="O106" s="7"/>
      <c r="P106" s="5" t="s">
        <v>29</v>
      </c>
      <c r="Q106" s="8">
        <v>0.3</v>
      </c>
      <c r="R106" s="35" t="s">
        <v>342</v>
      </c>
      <c r="S106" s="7"/>
    </row>
    <row r="107" ht="15.75" customHeight="1">
      <c r="A107" s="5" t="s">
        <v>343</v>
      </c>
      <c r="B107" s="5" t="s">
        <v>66</v>
      </c>
      <c r="C107" s="5" t="s">
        <v>50</v>
      </c>
      <c r="D107" s="5" t="s">
        <v>338</v>
      </c>
      <c r="E107" s="5" t="s">
        <v>23</v>
      </c>
      <c r="F107" s="5" t="s">
        <v>33</v>
      </c>
      <c r="G107" s="5" t="s">
        <v>40</v>
      </c>
      <c r="H107" s="5" t="s">
        <v>26</v>
      </c>
      <c r="I107" s="5" t="s">
        <v>27</v>
      </c>
      <c r="J107" s="6">
        <v>46077.0</v>
      </c>
      <c r="K107" s="6">
        <v>46077.0</v>
      </c>
      <c r="L107" s="6"/>
      <c r="M107" s="7"/>
      <c r="N107" s="7"/>
      <c r="O107" s="7"/>
      <c r="P107" s="5" t="s">
        <v>29</v>
      </c>
      <c r="Q107" s="8">
        <v>0.1</v>
      </c>
      <c r="R107" s="36" t="s">
        <v>344</v>
      </c>
      <c r="S107" s="7"/>
    </row>
    <row r="108" ht="15.75" customHeight="1">
      <c r="A108" s="5" t="s">
        <v>345</v>
      </c>
      <c r="B108" s="5" t="s">
        <v>66</v>
      </c>
      <c r="C108" s="5" t="s">
        <v>50</v>
      </c>
      <c r="D108" s="5" t="s">
        <v>338</v>
      </c>
      <c r="E108" s="5" t="s">
        <v>23</v>
      </c>
      <c r="F108" s="5" t="s">
        <v>33</v>
      </c>
      <c r="G108" s="5" t="s">
        <v>40</v>
      </c>
      <c r="H108" s="5" t="s">
        <v>26</v>
      </c>
      <c r="I108" s="5" t="s">
        <v>27</v>
      </c>
      <c r="J108" s="6">
        <v>46077.0</v>
      </c>
      <c r="K108" s="6">
        <v>46077.0</v>
      </c>
      <c r="L108" s="6"/>
      <c r="M108" s="7"/>
      <c r="N108" s="7"/>
      <c r="O108" s="7"/>
      <c r="P108" s="5" t="s">
        <v>29</v>
      </c>
      <c r="Q108" s="8">
        <v>0.3</v>
      </c>
      <c r="R108" s="37" t="s">
        <v>346</v>
      </c>
      <c r="S108" s="7"/>
    </row>
    <row r="109" ht="15.75" customHeight="1">
      <c r="A109" s="5" t="s">
        <v>347</v>
      </c>
      <c r="B109" s="5" t="s">
        <v>66</v>
      </c>
      <c r="C109" s="5" t="s">
        <v>50</v>
      </c>
      <c r="D109" s="5" t="s">
        <v>338</v>
      </c>
      <c r="E109" s="5" t="s">
        <v>23</v>
      </c>
      <c r="F109" s="5" t="s">
        <v>33</v>
      </c>
      <c r="G109" s="5" t="s">
        <v>40</v>
      </c>
      <c r="H109" s="5" t="s">
        <v>26</v>
      </c>
      <c r="I109" s="5" t="s">
        <v>27</v>
      </c>
      <c r="J109" s="6">
        <v>46077.0</v>
      </c>
      <c r="K109" s="6">
        <v>46077.0</v>
      </c>
      <c r="L109" s="6"/>
      <c r="M109" s="7"/>
      <c r="N109" s="7"/>
      <c r="O109" s="7"/>
      <c r="P109" s="5" t="s">
        <v>29</v>
      </c>
      <c r="Q109" s="8">
        <v>0.3</v>
      </c>
      <c r="R109" s="5" t="s">
        <v>348</v>
      </c>
      <c r="S109" s="7"/>
    </row>
    <row r="110" ht="15.75" customHeight="1">
      <c r="A110" s="5" t="s">
        <v>349</v>
      </c>
      <c r="B110" s="5" t="s">
        <v>66</v>
      </c>
      <c r="C110" s="5" t="s">
        <v>50</v>
      </c>
      <c r="D110" s="5" t="s">
        <v>338</v>
      </c>
      <c r="E110" s="5" t="s">
        <v>23</v>
      </c>
      <c r="F110" s="5" t="s">
        <v>33</v>
      </c>
      <c r="G110" s="5" t="s">
        <v>40</v>
      </c>
      <c r="H110" s="5" t="s">
        <v>26</v>
      </c>
      <c r="I110" s="5" t="s">
        <v>27</v>
      </c>
      <c r="J110" s="6">
        <v>46077.0</v>
      </c>
      <c r="K110" s="6">
        <v>46077.0</v>
      </c>
      <c r="L110" s="6"/>
      <c r="M110" s="7"/>
      <c r="N110" s="7"/>
      <c r="O110" s="7"/>
      <c r="P110" s="5" t="s">
        <v>29</v>
      </c>
      <c r="Q110" s="8">
        <v>0.3</v>
      </c>
      <c r="R110" s="38" t="s">
        <v>350</v>
      </c>
      <c r="S110" s="7"/>
    </row>
    <row r="111" ht="15.75" customHeight="1">
      <c r="A111" s="5" t="s">
        <v>351</v>
      </c>
      <c r="B111" s="5" t="s">
        <v>66</v>
      </c>
      <c r="C111" s="5" t="s">
        <v>50</v>
      </c>
      <c r="D111" s="5" t="s">
        <v>338</v>
      </c>
      <c r="E111" s="5" t="s">
        <v>23</v>
      </c>
      <c r="F111" s="5" t="s">
        <v>33</v>
      </c>
      <c r="G111" s="5" t="s">
        <v>40</v>
      </c>
      <c r="H111" s="5" t="s">
        <v>26</v>
      </c>
      <c r="I111" s="5" t="s">
        <v>27</v>
      </c>
      <c r="J111" s="6">
        <v>46077.0</v>
      </c>
      <c r="K111" s="6">
        <v>46077.0</v>
      </c>
      <c r="L111" s="6"/>
      <c r="M111" s="7"/>
      <c r="N111" s="7"/>
      <c r="O111" s="7"/>
      <c r="P111" s="5" t="s">
        <v>29</v>
      </c>
      <c r="Q111" s="8">
        <v>0.3</v>
      </c>
      <c r="R111" s="39" t="s">
        <v>352</v>
      </c>
      <c r="S111" s="7"/>
    </row>
    <row r="112" ht="15.75" customHeight="1">
      <c r="A112" s="5" t="s">
        <v>353</v>
      </c>
      <c r="B112" s="5" t="s">
        <v>66</v>
      </c>
      <c r="C112" s="5" t="s">
        <v>50</v>
      </c>
      <c r="D112" s="5" t="s">
        <v>338</v>
      </c>
      <c r="E112" s="5" t="s">
        <v>23</v>
      </c>
      <c r="F112" s="5" t="s">
        <v>33</v>
      </c>
      <c r="G112" s="5" t="s">
        <v>40</v>
      </c>
      <c r="H112" s="5" t="s">
        <v>26</v>
      </c>
      <c r="I112" s="5" t="s">
        <v>27</v>
      </c>
      <c r="J112" s="6">
        <v>46077.0</v>
      </c>
      <c r="K112" s="6">
        <v>46077.0</v>
      </c>
      <c r="L112" s="6"/>
      <c r="M112" s="7"/>
      <c r="N112" s="7"/>
      <c r="O112" s="7"/>
      <c r="P112" s="5" t="s">
        <v>29</v>
      </c>
      <c r="Q112" s="8">
        <v>0.3</v>
      </c>
      <c r="R112" s="5" t="s">
        <v>354</v>
      </c>
      <c r="S112" s="7"/>
    </row>
    <row r="113" ht="15.75" customHeight="1">
      <c r="A113" s="5" t="s">
        <v>355</v>
      </c>
      <c r="B113" s="5" t="s">
        <v>66</v>
      </c>
      <c r="C113" s="5" t="s">
        <v>50</v>
      </c>
      <c r="D113" s="5" t="s">
        <v>338</v>
      </c>
      <c r="E113" s="5" t="s">
        <v>23</v>
      </c>
      <c r="F113" s="5" t="s">
        <v>33</v>
      </c>
      <c r="G113" s="5" t="s">
        <v>79</v>
      </c>
      <c r="H113" s="5" t="s">
        <v>26</v>
      </c>
      <c r="I113" s="5" t="s">
        <v>27</v>
      </c>
      <c r="J113" s="6">
        <v>46077.0</v>
      </c>
      <c r="K113" s="6">
        <v>46077.0</v>
      </c>
      <c r="L113" s="6"/>
      <c r="M113" s="5" t="s">
        <v>339</v>
      </c>
      <c r="N113" s="7"/>
      <c r="O113" s="7"/>
      <c r="P113" s="5" t="s">
        <v>29</v>
      </c>
      <c r="Q113" s="8">
        <v>0.3</v>
      </c>
      <c r="R113" s="5" t="s">
        <v>356</v>
      </c>
      <c r="S113" s="7"/>
    </row>
    <row r="114" ht="15.75" customHeight="1">
      <c r="A114" s="5" t="s">
        <v>357</v>
      </c>
      <c r="B114" s="5" t="s">
        <v>47</v>
      </c>
      <c r="C114" s="5" t="s">
        <v>21</v>
      </c>
      <c r="D114" s="5" t="s">
        <v>89</v>
      </c>
      <c r="E114" s="5" t="s">
        <v>325</v>
      </c>
      <c r="F114" s="5" t="s">
        <v>63</v>
      </c>
      <c r="G114" s="5" t="s">
        <v>358</v>
      </c>
      <c r="H114" s="5" t="s">
        <v>320</v>
      </c>
      <c r="I114" s="5" t="s">
        <v>42</v>
      </c>
      <c r="J114" s="6">
        <v>46090.0</v>
      </c>
      <c r="K114" s="6">
        <v>46100.0</v>
      </c>
      <c r="L114" s="6">
        <v>46132.0</v>
      </c>
      <c r="M114" s="5" t="s">
        <v>359</v>
      </c>
      <c r="N114" s="7"/>
      <c r="O114" s="7"/>
      <c r="P114" s="5" t="s">
        <v>209</v>
      </c>
      <c r="Q114" s="8">
        <v>0.3</v>
      </c>
      <c r="R114" s="5" t="s">
        <v>360</v>
      </c>
      <c r="S114" s="23" t="s">
        <v>361</v>
      </c>
    </row>
    <row r="115" ht="15.75" customHeight="1">
      <c r="A115" s="5" t="s">
        <v>362</v>
      </c>
      <c r="B115" s="5" t="s">
        <v>20</v>
      </c>
      <c r="C115" s="5" t="s">
        <v>21</v>
      </c>
      <c r="D115" s="5" t="s">
        <v>89</v>
      </c>
      <c r="E115" s="5" t="s">
        <v>23</v>
      </c>
      <c r="F115" s="5" t="s">
        <v>63</v>
      </c>
      <c r="G115" s="5" t="s">
        <v>79</v>
      </c>
      <c r="H115" s="5" t="s">
        <v>128</v>
      </c>
      <c r="I115" s="5" t="s">
        <v>42</v>
      </c>
      <c r="J115" s="6">
        <v>46092.0</v>
      </c>
      <c r="K115" s="6">
        <v>46092.0</v>
      </c>
      <c r="L115" s="6"/>
      <c r="M115" s="7"/>
      <c r="N115" s="5" t="s">
        <v>363</v>
      </c>
      <c r="O115" s="5" t="s">
        <v>364</v>
      </c>
      <c r="P115" s="5" t="s">
        <v>29</v>
      </c>
      <c r="Q115" s="8">
        <v>0.4</v>
      </c>
      <c r="R115" s="5" t="s">
        <v>365</v>
      </c>
      <c r="S115" s="23" t="s">
        <v>366</v>
      </c>
    </row>
    <row r="116" ht="15.75" customHeight="1">
      <c r="A116" s="5" t="s">
        <v>367</v>
      </c>
      <c r="B116" s="5" t="s">
        <v>20</v>
      </c>
      <c r="C116" s="5" t="s">
        <v>21</v>
      </c>
      <c r="D116" s="5" t="s">
        <v>89</v>
      </c>
      <c r="E116" s="5" t="s">
        <v>23</v>
      </c>
      <c r="F116" s="5" t="s">
        <v>63</v>
      </c>
      <c r="G116" s="5" t="s">
        <v>25</v>
      </c>
      <c r="H116" s="5" t="s">
        <v>26</v>
      </c>
      <c r="I116" s="5" t="s">
        <v>42</v>
      </c>
      <c r="J116" s="6">
        <v>46092.0</v>
      </c>
      <c r="K116" s="6">
        <v>46121.0</v>
      </c>
      <c r="L116" s="6"/>
      <c r="M116" s="7"/>
      <c r="N116" s="7"/>
      <c r="O116" s="7"/>
      <c r="P116" s="5" t="s">
        <v>29</v>
      </c>
      <c r="Q116" s="8">
        <v>0.4</v>
      </c>
      <c r="R116" s="16" t="s">
        <v>368</v>
      </c>
      <c r="S116" s="23" t="s">
        <v>369</v>
      </c>
    </row>
    <row r="117" ht="15.75" customHeight="1">
      <c r="A117" s="5" t="s">
        <v>370</v>
      </c>
      <c r="B117" s="5" t="s">
        <v>20</v>
      </c>
      <c r="C117" s="5" t="s">
        <v>21</v>
      </c>
      <c r="D117" s="5" t="s">
        <v>89</v>
      </c>
      <c r="E117" s="5" t="s">
        <v>23</v>
      </c>
      <c r="F117" s="5" t="s">
        <v>33</v>
      </c>
      <c r="G117" s="5" t="s">
        <v>25</v>
      </c>
      <c r="H117" s="5" t="s">
        <v>80</v>
      </c>
      <c r="I117" s="5" t="s">
        <v>27</v>
      </c>
      <c r="J117" s="6">
        <v>46092.0</v>
      </c>
      <c r="K117" s="6">
        <v>46121.0</v>
      </c>
      <c r="L117" s="6"/>
      <c r="M117" s="7"/>
      <c r="N117" s="5" t="s">
        <v>371</v>
      </c>
      <c r="O117" s="7"/>
      <c r="P117" s="5" t="s">
        <v>29</v>
      </c>
      <c r="Q117" s="8">
        <v>0.2</v>
      </c>
      <c r="R117" s="5" t="s">
        <v>372</v>
      </c>
      <c r="S117" s="7"/>
    </row>
    <row r="118" ht="15.75" customHeight="1">
      <c r="A118" s="5" t="s">
        <v>373</v>
      </c>
      <c r="B118" s="5" t="s">
        <v>20</v>
      </c>
      <c r="C118" s="5" t="s">
        <v>21</v>
      </c>
      <c r="D118" s="5" t="s">
        <v>89</v>
      </c>
      <c r="E118" s="5" t="s">
        <v>23</v>
      </c>
      <c r="F118" s="5" t="s">
        <v>33</v>
      </c>
      <c r="G118" s="5" t="s">
        <v>25</v>
      </c>
      <c r="H118" s="5" t="s">
        <v>26</v>
      </c>
      <c r="I118" s="5" t="s">
        <v>27</v>
      </c>
      <c r="J118" s="6">
        <v>46092.0</v>
      </c>
      <c r="K118" s="6">
        <v>46104.0</v>
      </c>
      <c r="L118" s="6"/>
      <c r="M118" s="7"/>
      <c r="N118" s="7"/>
      <c r="O118" s="7"/>
      <c r="P118" s="5" t="s">
        <v>29</v>
      </c>
      <c r="Q118" s="8">
        <v>0.2</v>
      </c>
      <c r="R118" s="16" t="s">
        <v>374</v>
      </c>
      <c r="S118" s="40" t="s">
        <v>375</v>
      </c>
    </row>
    <row r="119" ht="15.75" customHeight="1">
      <c r="A119" s="5" t="s">
        <v>376</v>
      </c>
      <c r="B119" s="5" t="s">
        <v>20</v>
      </c>
      <c r="C119" s="5" t="s">
        <v>21</v>
      </c>
      <c r="D119" s="5" t="s">
        <v>89</v>
      </c>
      <c r="E119" s="5" t="s">
        <v>23</v>
      </c>
      <c r="F119" s="5" t="s">
        <v>33</v>
      </c>
      <c r="G119" s="5" t="s">
        <v>25</v>
      </c>
      <c r="H119" s="5" t="s">
        <v>26</v>
      </c>
      <c r="I119" s="5" t="s">
        <v>27</v>
      </c>
      <c r="J119" s="6">
        <v>46092.0</v>
      </c>
      <c r="K119" s="6">
        <v>46104.0</v>
      </c>
      <c r="L119" s="6"/>
      <c r="M119" s="7"/>
      <c r="N119" s="7"/>
      <c r="O119" s="7"/>
      <c r="P119" s="5" t="s">
        <v>29</v>
      </c>
      <c r="Q119" s="8">
        <v>0.2</v>
      </c>
      <c r="R119" s="5" t="s">
        <v>377</v>
      </c>
      <c r="S119" s="23" t="s">
        <v>378</v>
      </c>
    </row>
    <row r="120" ht="15.75" customHeight="1">
      <c r="A120" s="5" t="s">
        <v>379</v>
      </c>
      <c r="B120" s="5" t="s">
        <v>20</v>
      </c>
      <c r="C120" s="5" t="s">
        <v>21</v>
      </c>
      <c r="D120" s="5" t="s">
        <v>89</v>
      </c>
      <c r="E120" s="5" t="s">
        <v>23</v>
      </c>
      <c r="F120" s="5" t="s">
        <v>63</v>
      </c>
      <c r="G120" s="5" t="s">
        <v>25</v>
      </c>
      <c r="H120" s="5" t="s">
        <v>80</v>
      </c>
      <c r="I120" s="5" t="s">
        <v>27</v>
      </c>
      <c r="J120" s="6">
        <v>46092.0</v>
      </c>
      <c r="K120" s="6">
        <v>46105.0</v>
      </c>
      <c r="L120" s="6">
        <v>46144.0</v>
      </c>
      <c r="M120" s="5" t="s">
        <v>380</v>
      </c>
      <c r="N120" s="7"/>
      <c r="O120" s="7"/>
      <c r="P120" s="5" t="s">
        <v>29</v>
      </c>
      <c r="Q120" s="8">
        <v>0.2</v>
      </c>
      <c r="R120" s="5" t="s">
        <v>381</v>
      </c>
      <c r="S120" s="23" t="s">
        <v>382</v>
      </c>
    </row>
    <row r="121" ht="15.75" customHeight="1">
      <c r="A121" s="5" t="s">
        <v>383</v>
      </c>
      <c r="B121" s="5" t="s">
        <v>20</v>
      </c>
      <c r="C121" s="5" t="s">
        <v>21</v>
      </c>
      <c r="D121" s="5" t="s">
        <v>89</v>
      </c>
      <c r="E121" s="5" t="s">
        <v>23</v>
      </c>
      <c r="F121" s="5" t="s">
        <v>33</v>
      </c>
      <c r="G121" s="5" t="s">
        <v>25</v>
      </c>
      <c r="H121" s="5" t="s">
        <v>26</v>
      </c>
      <c r="I121" s="5" t="s">
        <v>27</v>
      </c>
      <c r="J121" s="6">
        <v>46092.0</v>
      </c>
      <c r="K121" s="6">
        <v>46104.0</v>
      </c>
      <c r="L121" s="6"/>
      <c r="M121" s="7"/>
      <c r="N121" s="7"/>
      <c r="O121" s="7"/>
      <c r="P121" s="5" t="s">
        <v>29</v>
      </c>
      <c r="Q121" s="8">
        <v>0.1</v>
      </c>
      <c r="R121" s="35" t="s">
        <v>384</v>
      </c>
      <c r="S121" s="7"/>
    </row>
    <row r="122" ht="15.75" customHeight="1">
      <c r="A122" s="5" t="s">
        <v>385</v>
      </c>
      <c r="B122" s="5" t="s">
        <v>20</v>
      </c>
      <c r="C122" s="5" t="s">
        <v>21</v>
      </c>
      <c r="D122" s="5" t="s">
        <v>89</v>
      </c>
      <c r="E122" s="5" t="s">
        <v>23</v>
      </c>
      <c r="F122" s="5" t="s">
        <v>33</v>
      </c>
      <c r="G122" s="5" t="s">
        <v>25</v>
      </c>
      <c r="H122" s="5" t="s">
        <v>26</v>
      </c>
      <c r="I122" s="5" t="s">
        <v>27</v>
      </c>
      <c r="J122" s="6">
        <v>46092.0</v>
      </c>
      <c r="K122" s="6">
        <v>46104.0</v>
      </c>
      <c r="L122" s="6"/>
      <c r="M122" s="7"/>
      <c r="N122" s="7"/>
      <c r="O122" s="7"/>
      <c r="P122" s="5" t="s">
        <v>29</v>
      </c>
      <c r="Q122" s="8">
        <v>0.2</v>
      </c>
      <c r="R122" s="5" t="s">
        <v>386</v>
      </c>
      <c r="S122" s="23" t="s">
        <v>387</v>
      </c>
    </row>
    <row r="123" ht="15.75" customHeight="1">
      <c r="A123" s="5" t="s">
        <v>388</v>
      </c>
      <c r="B123" s="5" t="s">
        <v>20</v>
      </c>
      <c r="C123" s="5" t="s">
        <v>21</v>
      </c>
      <c r="D123" s="5" t="s">
        <v>89</v>
      </c>
      <c r="E123" s="5" t="s">
        <v>23</v>
      </c>
      <c r="F123" s="5" t="s">
        <v>33</v>
      </c>
      <c r="G123" s="5" t="s">
        <v>25</v>
      </c>
      <c r="H123" s="5" t="s">
        <v>26</v>
      </c>
      <c r="I123" s="5" t="s">
        <v>27</v>
      </c>
      <c r="J123" s="6">
        <v>46092.0</v>
      </c>
      <c r="K123" s="6">
        <v>46104.0</v>
      </c>
      <c r="L123" s="6"/>
      <c r="M123" s="7"/>
      <c r="N123" s="7"/>
      <c r="O123" s="7"/>
      <c r="P123" s="5" t="s">
        <v>29</v>
      </c>
      <c r="Q123" s="8">
        <v>0.2</v>
      </c>
      <c r="R123" s="5" t="s">
        <v>389</v>
      </c>
      <c r="S123" s="40" t="s">
        <v>390</v>
      </c>
    </row>
    <row r="124" ht="15.75" customHeight="1">
      <c r="A124" s="5" t="s">
        <v>391</v>
      </c>
      <c r="B124" s="5" t="s">
        <v>20</v>
      </c>
      <c r="C124" s="5" t="s">
        <v>21</v>
      </c>
      <c r="D124" s="5" t="s">
        <v>89</v>
      </c>
      <c r="E124" s="5" t="s">
        <v>23</v>
      </c>
      <c r="F124" s="5" t="s">
        <v>33</v>
      </c>
      <c r="G124" s="5" t="s">
        <v>25</v>
      </c>
      <c r="H124" s="5" t="s">
        <v>26</v>
      </c>
      <c r="I124" s="5" t="s">
        <v>27</v>
      </c>
      <c r="J124" s="6">
        <v>46092.0</v>
      </c>
      <c r="K124" s="6">
        <v>46104.0</v>
      </c>
      <c r="L124" s="6"/>
      <c r="M124" s="7"/>
      <c r="N124" s="7"/>
      <c r="O124" s="7"/>
      <c r="P124" s="5" t="s">
        <v>29</v>
      </c>
      <c r="Q124" s="8">
        <v>0.2</v>
      </c>
      <c r="R124" s="5" t="s">
        <v>392</v>
      </c>
      <c r="S124" s="23" t="s">
        <v>393</v>
      </c>
    </row>
    <row r="125" ht="15.75" customHeight="1">
      <c r="A125" s="5" t="s">
        <v>394</v>
      </c>
      <c r="B125" s="5" t="s">
        <v>20</v>
      </c>
      <c r="C125" s="5" t="s">
        <v>21</v>
      </c>
      <c r="D125" s="5" t="s">
        <v>89</v>
      </c>
      <c r="E125" s="5" t="s">
        <v>23</v>
      </c>
      <c r="F125" s="5" t="s">
        <v>33</v>
      </c>
      <c r="G125" s="5" t="s">
        <v>25</v>
      </c>
      <c r="H125" s="5" t="s">
        <v>26</v>
      </c>
      <c r="I125" s="5" t="s">
        <v>27</v>
      </c>
      <c r="J125" s="6">
        <v>46092.0</v>
      </c>
      <c r="K125" s="6">
        <v>46104.0</v>
      </c>
      <c r="L125" s="6"/>
      <c r="M125" s="7"/>
      <c r="N125" s="7"/>
      <c r="O125" s="7"/>
      <c r="P125" s="5" t="s">
        <v>29</v>
      </c>
      <c r="Q125" s="8">
        <v>0.3</v>
      </c>
      <c r="R125" s="5" t="s">
        <v>395</v>
      </c>
      <c r="S125" s="23" t="s">
        <v>396</v>
      </c>
    </row>
    <row r="126" ht="15.75" customHeight="1">
      <c r="A126" s="5" t="s">
        <v>397</v>
      </c>
      <c r="B126" s="5" t="s">
        <v>36</v>
      </c>
      <c r="C126" s="5" t="s">
        <v>21</v>
      </c>
      <c r="D126" s="5" t="s">
        <v>89</v>
      </c>
      <c r="E126" s="5" t="s">
        <v>325</v>
      </c>
      <c r="F126" s="5" t="s">
        <v>63</v>
      </c>
      <c r="G126" s="5" t="s">
        <v>358</v>
      </c>
      <c r="H126" s="5" t="s">
        <v>26</v>
      </c>
      <c r="I126" s="5" t="s">
        <v>42</v>
      </c>
      <c r="J126" s="6">
        <v>46093.0</v>
      </c>
      <c r="K126" s="6">
        <v>46093.0</v>
      </c>
      <c r="L126" s="6"/>
      <c r="M126" s="7"/>
      <c r="N126" s="7"/>
      <c r="O126" s="7"/>
      <c r="P126" s="5" t="s">
        <v>209</v>
      </c>
      <c r="Q126" s="8">
        <v>0.3</v>
      </c>
      <c r="R126" s="7"/>
      <c r="S126" s="7"/>
    </row>
    <row r="127" ht="15.75" customHeight="1">
      <c r="A127" s="5" t="s">
        <v>398</v>
      </c>
      <c r="B127" s="5" t="s">
        <v>47</v>
      </c>
      <c r="C127" s="5" t="s">
        <v>21</v>
      </c>
      <c r="D127" s="5" t="s">
        <v>89</v>
      </c>
      <c r="E127" s="5" t="s">
        <v>23</v>
      </c>
      <c r="F127" s="5" t="s">
        <v>33</v>
      </c>
      <c r="G127" s="5" t="s">
        <v>25</v>
      </c>
      <c r="H127" s="5" t="s">
        <v>26</v>
      </c>
      <c r="I127" s="5" t="s">
        <v>27</v>
      </c>
      <c r="J127" s="6">
        <v>46093.0</v>
      </c>
      <c r="K127" s="6">
        <v>46104.0</v>
      </c>
      <c r="L127" s="6"/>
      <c r="M127" s="7"/>
      <c r="N127" s="7"/>
      <c r="O127" s="7"/>
      <c r="P127" s="5" t="s">
        <v>29</v>
      </c>
      <c r="Q127" s="8">
        <v>0.2</v>
      </c>
      <c r="R127" s="16" t="s">
        <v>399</v>
      </c>
      <c r="S127" s="23" t="s">
        <v>400</v>
      </c>
    </row>
    <row r="128" ht="15.75" customHeight="1">
      <c r="A128" s="5" t="s">
        <v>401</v>
      </c>
      <c r="B128" s="5" t="s">
        <v>36</v>
      </c>
      <c r="C128" s="5" t="s">
        <v>21</v>
      </c>
      <c r="D128" s="5" t="s">
        <v>89</v>
      </c>
      <c r="E128" s="5" t="s">
        <v>23</v>
      </c>
      <c r="F128" s="5" t="s">
        <v>33</v>
      </c>
      <c r="G128" s="5" t="s">
        <v>25</v>
      </c>
      <c r="H128" s="5" t="s">
        <v>26</v>
      </c>
      <c r="I128" s="5" t="s">
        <v>27</v>
      </c>
      <c r="J128" s="6">
        <v>46093.0</v>
      </c>
      <c r="K128" s="6">
        <v>46104.0</v>
      </c>
      <c r="L128" s="6"/>
      <c r="M128" s="7"/>
      <c r="N128" s="7"/>
      <c r="O128" s="7"/>
      <c r="P128" s="5" t="s">
        <v>29</v>
      </c>
      <c r="Q128" s="8">
        <v>0.3</v>
      </c>
      <c r="R128" s="16" t="s">
        <v>402</v>
      </c>
      <c r="S128" s="23" t="s">
        <v>403</v>
      </c>
    </row>
    <row r="129" ht="15.75" customHeight="1">
      <c r="A129" s="5" t="s">
        <v>404</v>
      </c>
      <c r="B129" s="5" t="s">
        <v>47</v>
      </c>
      <c r="C129" s="5" t="s">
        <v>21</v>
      </c>
      <c r="D129" s="5" t="s">
        <v>89</v>
      </c>
      <c r="E129" s="5" t="s">
        <v>23</v>
      </c>
      <c r="F129" s="5" t="s">
        <v>63</v>
      </c>
      <c r="G129" s="5" t="s">
        <v>79</v>
      </c>
      <c r="H129" s="5" t="s">
        <v>26</v>
      </c>
      <c r="I129" s="5" t="s">
        <v>27</v>
      </c>
      <c r="J129" s="6">
        <v>46098.0</v>
      </c>
      <c r="K129" s="6">
        <v>46105.0</v>
      </c>
      <c r="L129" s="6"/>
      <c r="M129" s="7"/>
      <c r="N129" s="7"/>
      <c r="O129" s="7"/>
      <c r="P129" s="5" t="s">
        <v>29</v>
      </c>
      <c r="Q129" s="8">
        <v>0.2</v>
      </c>
      <c r="R129" s="5" t="s">
        <v>405</v>
      </c>
      <c r="S129" s="7"/>
    </row>
    <row r="130" ht="15.75" customHeight="1">
      <c r="A130" s="5" t="s">
        <v>406</v>
      </c>
      <c r="B130" s="5" t="s">
        <v>47</v>
      </c>
      <c r="C130" s="5" t="s">
        <v>50</v>
      </c>
      <c r="D130" s="5" t="s">
        <v>89</v>
      </c>
      <c r="E130" s="5" t="s">
        <v>325</v>
      </c>
      <c r="F130" s="5" t="s">
        <v>24</v>
      </c>
      <c r="G130" s="5" t="s">
        <v>358</v>
      </c>
      <c r="H130" s="5" t="s">
        <v>26</v>
      </c>
      <c r="I130" s="5" t="s">
        <v>190</v>
      </c>
      <c r="J130" s="6">
        <v>46098.0</v>
      </c>
      <c r="K130" s="6">
        <v>46098.0</v>
      </c>
      <c r="L130" s="6"/>
      <c r="M130" s="7"/>
      <c r="N130" s="7"/>
      <c r="O130" s="7"/>
      <c r="P130" s="5" t="s">
        <v>54</v>
      </c>
      <c r="Q130" s="21"/>
      <c r="R130" s="7"/>
      <c r="S130" s="7"/>
    </row>
    <row r="131" ht="15.75" customHeight="1">
      <c r="A131" s="5" t="s">
        <v>407</v>
      </c>
      <c r="B131" s="5" t="s">
        <v>20</v>
      </c>
      <c r="C131" s="5" t="s">
        <v>21</v>
      </c>
      <c r="D131" s="5" t="s">
        <v>89</v>
      </c>
      <c r="E131" s="5" t="s">
        <v>23</v>
      </c>
      <c r="F131" s="5" t="s">
        <v>33</v>
      </c>
      <c r="G131" s="5" t="s">
        <v>25</v>
      </c>
      <c r="H131" s="5" t="s">
        <v>26</v>
      </c>
      <c r="I131" s="5" t="s">
        <v>27</v>
      </c>
      <c r="J131" s="6">
        <v>46098.0</v>
      </c>
      <c r="K131" s="6">
        <v>46112.0</v>
      </c>
      <c r="L131" s="6"/>
      <c r="M131" s="7"/>
      <c r="N131" s="7"/>
      <c r="O131" s="7"/>
      <c r="P131" s="5" t="s">
        <v>29</v>
      </c>
      <c r="Q131" s="8">
        <v>0.2</v>
      </c>
      <c r="R131" s="5" t="s">
        <v>408</v>
      </c>
      <c r="S131" s="7"/>
    </row>
    <row r="132" ht="15.75" customHeight="1">
      <c r="A132" s="5" t="s">
        <v>409</v>
      </c>
      <c r="B132" s="5" t="s">
        <v>47</v>
      </c>
      <c r="C132" s="5" t="s">
        <v>50</v>
      </c>
      <c r="D132" s="5" t="s">
        <v>89</v>
      </c>
      <c r="E132" s="5" t="s">
        <v>325</v>
      </c>
      <c r="F132" s="5" t="s">
        <v>33</v>
      </c>
      <c r="G132" s="5" t="s">
        <v>358</v>
      </c>
      <c r="H132" s="5" t="s">
        <v>26</v>
      </c>
      <c r="I132" s="5" t="s">
        <v>27</v>
      </c>
      <c r="J132" s="6">
        <v>46098.0</v>
      </c>
      <c r="K132" s="6">
        <v>46098.0</v>
      </c>
      <c r="L132" s="6"/>
      <c r="M132" s="7"/>
      <c r="N132" s="7"/>
      <c r="O132" s="7"/>
      <c r="P132" s="5" t="s">
        <v>54</v>
      </c>
      <c r="Q132" s="8">
        <v>0.2</v>
      </c>
      <c r="R132" s="5"/>
      <c r="S132" s="7"/>
    </row>
    <row r="133" ht="15.75" customHeight="1">
      <c r="A133" s="5" t="s">
        <v>410</v>
      </c>
      <c r="B133" s="5" t="s">
        <v>47</v>
      </c>
      <c r="C133" s="5" t="s">
        <v>50</v>
      </c>
      <c r="D133" s="5" t="s">
        <v>89</v>
      </c>
      <c r="E133" s="5" t="s">
        <v>23</v>
      </c>
      <c r="F133" s="5" t="s">
        <v>63</v>
      </c>
      <c r="G133" s="5" t="s">
        <v>25</v>
      </c>
      <c r="H133" s="5" t="s">
        <v>80</v>
      </c>
      <c r="I133" s="5" t="s">
        <v>27</v>
      </c>
      <c r="J133" s="6">
        <v>46098.0</v>
      </c>
      <c r="K133" s="6">
        <v>46112.0</v>
      </c>
      <c r="L133" s="6">
        <v>46132.0</v>
      </c>
      <c r="M133" s="7"/>
      <c r="N133" s="5" t="s">
        <v>411</v>
      </c>
      <c r="O133" s="7"/>
      <c r="P133" s="5" t="s">
        <v>29</v>
      </c>
      <c r="Q133" s="8">
        <v>0.2</v>
      </c>
      <c r="R133" s="5" t="s">
        <v>412</v>
      </c>
      <c r="S133" s="7"/>
    </row>
    <row r="134" ht="15.75" customHeight="1">
      <c r="A134" s="5" t="s">
        <v>413</v>
      </c>
      <c r="B134" s="5" t="s">
        <v>47</v>
      </c>
      <c r="C134" s="5" t="s">
        <v>21</v>
      </c>
      <c r="D134" s="5" t="s">
        <v>89</v>
      </c>
      <c r="E134" s="5" t="s">
        <v>23</v>
      </c>
      <c r="F134" s="5" t="s">
        <v>33</v>
      </c>
      <c r="G134" s="5" t="s">
        <v>25</v>
      </c>
      <c r="H134" s="5" t="s">
        <v>26</v>
      </c>
      <c r="I134" s="5" t="s">
        <v>27</v>
      </c>
      <c r="J134" s="6">
        <v>46098.0</v>
      </c>
      <c r="K134" s="6">
        <v>46112.0</v>
      </c>
      <c r="L134" s="6"/>
      <c r="M134" s="7"/>
      <c r="N134" s="7"/>
      <c r="O134" s="7"/>
      <c r="P134" s="5" t="s">
        <v>29</v>
      </c>
      <c r="Q134" s="8">
        <v>0.2</v>
      </c>
      <c r="R134" s="41" t="s">
        <v>414</v>
      </c>
      <c r="S134" s="23" t="s">
        <v>415</v>
      </c>
    </row>
    <row r="135" ht="15.75" customHeight="1">
      <c r="A135" s="5" t="s">
        <v>416</v>
      </c>
      <c r="B135" s="5" t="s">
        <v>20</v>
      </c>
      <c r="C135" s="5" t="s">
        <v>21</v>
      </c>
      <c r="D135" s="5" t="s">
        <v>89</v>
      </c>
      <c r="E135" s="5" t="s">
        <v>23</v>
      </c>
      <c r="F135" s="5" t="s">
        <v>33</v>
      </c>
      <c r="G135" s="5" t="s">
        <v>25</v>
      </c>
      <c r="H135" s="5" t="s">
        <v>26</v>
      </c>
      <c r="I135" s="5" t="s">
        <v>27</v>
      </c>
      <c r="J135" s="6">
        <v>46098.0</v>
      </c>
      <c r="K135" s="6">
        <v>46112.0</v>
      </c>
      <c r="L135" s="6"/>
      <c r="M135" s="7"/>
      <c r="N135" s="7"/>
      <c r="O135" s="7"/>
      <c r="P135" s="5" t="s">
        <v>29</v>
      </c>
      <c r="Q135" s="8">
        <v>0.2</v>
      </c>
      <c r="R135" s="42" t="s">
        <v>417</v>
      </c>
      <c r="S135" s="23" t="s">
        <v>418</v>
      </c>
    </row>
    <row r="136" ht="15.75" customHeight="1">
      <c r="A136" s="5" t="s">
        <v>419</v>
      </c>
      <c r="B136" s="5" t="s">
        <v>47</v>
      </c>
      <c r="C136" s="5" t="s">
        <v>21</v>
      </c>
      <c r="D136" s="5" t="s">
        <v>89</v>
      </c>
      <c r="E136" s="5" t="s">
        <v>23</v>
      </c>
      <c r="F136" s="5" t="s">
        <v>33</v>
      </c>
      <c r="G136" s="5" t="s">
        <v>25</v>
      </c>
      <c r="H136" s="5" t="s">
        <v>80</v>
      </c>
      <c r="I136" s="5" t="s">
        <v>27</v>
      </c>
      <c r="J136" s="6">
        <v>46098.0</v>
      </c>
      <c r="K136" s="6">
        <v>46112.0</v>
      </c>
      <c r="L136" s="6"/>
      <c r="M136" s="7"/>
      <c r="N136" s="5" t="s">
        <v>420</v>
      </c>
      <c r="O136" s="7"/>
      <c r="P136" s="5" t="s">
        <v>29</v>
      </c>
      <c r="Q136" s="8">
        <v>0.2</v>
      </c>
      <c r="R136" s="5" t="s">
        <v>421</v>
      </c>
      <c r="S136" s="23" t="s">
        <v>422</v>
      </c>
    </row>
    <row r="137" ht="15.75" customHeight="1">
      <c r="A137" s="5" t="s">
        <v>423</v>
      </c>
      <c r="B137" s="5" t="s">
        <v>20</v>
      </c>
      <c r="C137" s="5" t="s">
        <v>21</v>
      </c>
      <c r="D137" s="5" t="s">
        <v>89</v>
      </c>
      <c r="E137" s="5" t="s">
        <v>23</v>
      </c>
      <c r="F137" s="5" t="s">
        <v>24</v>
      </c>
      <c r="G137" s="5" t="s">
        <v>25</v>
      </c>
      <c r="H137" s="5" t="s">
        <v>41</v>
      </c>
      <c r="I137" s="5" t="s">
        <v>190</v>
      </c>
      <c r="J137" s="6">
        <v>46108.0</v>
      </c>
      <c r="K137" s="6">
        <v>46114.0</v>
      </c>
      <c r="L137" s="6">
        <v>46133.0</v>
      </c>
      <c r="M137" s="7"/>
      <c r="N137" s="7"/>
      <c r="O137" s="7"/>
      <c r="P137" s="5" t="s">
        <v>209</v>
      </c>
      <c r="Q137" s="8">
        <v>0.1</v>
      </c>
      <c r="R137" s="5" t="s">
        <v>424</v>
      </c>
      <c r="S137" s="23" t="s">
        <v>425</v>
      </c>
    </row>
    <row r="138" ht="15.75" customHeight="1">
      <c r="A138" s="5" t="s">
        <v>426</v>
      </c>
      <c r="B138" s="5" t="s">
        <v>20</v>
      </c>
      <c r="C138" s="5" t="s">
        <v>21</v>
      </c>
      <c r="D138" s="5" t="s">
        <v>89</v>
      </c>
      <c r="E138" s="5" t="s">
        <v>23</v>
      </c>
      <c r="F138" s="5" t="s">
        <v>33</v>
      </c>
      <c r="G138" s="5" t="s">
        <v>25</v>
      </c>
      <c r="H138" s="5" t="s">
        <v>26</v>
      </c>
      <c r="I138" s="5" t="s">
        <v>27</v>
      </c>
      <c r="J138" s="6">
        <v>46108.0</v>
      </c>
      <c r="K138" s="6">
        <v>46114.0</v>
      </c>
      <c r="L138" s="6">
        <v>46132.0</v>
      </c>
      <c r="M138" s="7"/>
      <c r="N138" s="7"/>
      <c r="O138" s="7"/>
      <c r="P138" s="5" t="s">
        <v>29</v>
      </c>
      <c r="Q138" s="8">
        <v>0.2</v>
      </c>
      <c r="R138" s="5" t="s">
        <v>427</v>
      </c>
      <c r="S138" s="23" t="s">
        <v>428</v>
      </c>
    </row>
    <row r="139" ht="15.75" customHeight="1">
      <c r="A139" s="5" t="s">
        <v>429</v>
      </c>
      <c r="B139" s="5" t="s">
        <v>20</v>
      </c>
      <c r="C139" s="5" t="s">
        <v>21</v>
      </c>
      <c r="D139" s="5" t="s">
        <v>89</v>
      </c>
      <c r="E139" s="5" t="s">
        <v>23</v>
      </c>
      <c r="F139" s="5" t="s">
        <v>33</v>
      </c>
      <c r="G139" s="5" t="s">
        <v>25</v>
      </c>
      <c r="H139" s="5" t="s">
        <v>26</v>
      </c>
      <c r="I139" s="5" t="s">
        <v>27</v>
      </c>
      <c r="J139" s="6">
        <v>46108.0</v>
      </c>
      <c r="K139" s="6">
        <v>46114.0</v>
      </c>
      <c r="L139" s="6">
        <v>46132.0</v>
      </c>
      <c r="M139" s="7"/>
      <c r="N139" s="7"/>
      <c r="O139" s="7"/>
      <c r="P139" s="5" t="s">
        <v>29</v>
      </c>
      <c r="Q139" s="8">
        <v>0.2</v>
      </c>
      <c r="R139" s="5" t="s">
        <v>430</v>
      </c>
      <c r="S139" s="40" t="s">
        <v>431</v>
      </c>
    </row>
    <row r="140" ht="15.75" customHeight="1">
      <c r="A140" s="5" t="s">
        <v>432</v>
      </c>
      <c r="B140" s="5" t="s">
        <v>20</v>
      </c>
      <c r="C140" s="5" t="s">
        <v>21</v>
      </c>
      <c r="D140" s="5" t="s">
        <v>89</v>
      </c>
      <c r="E140" s="5" t="s">
        <v>23</v>
      </c>
      <c r="F140" s="5" t="s">
        <v>33</v>
      </c>
      <c r="G140" s="5" t="s">
        <v>25</v>
      </c>
      <c r="H140" s="5" t="s">
        <v>26</v>
      </c>
      <c r="I140" s="5" t="s">
        <v>27</v>
      </c>
      <c r="J140" s="6">
        <v>46108.0</v>
      </c>
      <c r="K140" s="6">
        <v>46114.0</v>
      </c>
      <c r="L140" s="6">
        <v>46132.0</v>
      </c>
      <c r="M140" s="7"/>
      <c r="N140" s="7"/>
      <c r="O140" s="7"/>
      <c r="P140" s="5" t="s">
        <v>29</v>
      </c>
      <c r="Q140" s="8">
        <v>0.2</v>
      </c>
      <c r="R140" s="5" t="s">
        <v>433</v>
      </c>
      <c r="S140" s="23" t="s">
        <v>434</v>
      </c>
    </row>
    <row r="141" ht="15.75" customHeight="1">
      <c r="A141" s="5" t="s">
        <v>435</v>
      </c>
      <c r="B141" s="5" t="s">
        <v>20</v>
      </c>
      <c r="C141" s="5" t="s">
        <v>21</v>
      </c>
      <c r="D141" s="5" t="s">
        <v>89</v>
      </c>
      <c r="E141" s="5" t="s">
        <v>23</v>
      </c>
      <c r="F141" s="5" t="s">
        <v>24</v>
      </c>
      <c r="G141" s="5" t="s">
        <v>79</v>
      </c>
      <c r="H141" s="5" t="s">
        <v>26</v>
      </c>
      <c r="I141" s="5" t="s">
        <v>190</v>
      </c>
      <c r="J141" s="6">
        <v>46123.0</v>
      </c>
      <c r="K141" s="6">
        <v>46123.0</v>
      </c>
      <c r="L141" s="6">
        <v>46132.0</v>
      </c>
      <c r="M141" s="7"/>
      <c r="N141" s="7"/>
      <c r="O141" s="7"/>
      <c r="P141" s="5" t="s">
        <v>29</v>
      </c>
      <c r="Q141" s="8">
        <v>0.1</v>
      </c>
      <c r="R141" s="5" t="s">
        <v>436</v>
      </c>
      <c r="S141" s="7"/>
    </row>
    <row r="142" ht="15.75" customHeight="1">
      <c r="A142" s="5" t="s">
        <v>437</v>
      </c>
      <c r="B142" s="5" t="s">
        <v>20</v>
      </c>
      <c r="C142" s="5" t="s">
        <v>21</v>
      </c>
      <c r="D142" s="5" t="s">
        <v>89</v>
      </c>
      <c r="E142" s="5" t="s">
        <v>23</v>
      </c>
      <c r="F142" s="5" t="s">
        <v>33</v>
      </c>
      <c r="G142" s="5" t="s">
        <v>79</v>
      </c>
      <c r="H142" s="5" t="s">
        <v>26</v>
      </c>
      <c r="I142" s="5" t="s">
        <v>27</v>
      </c>
      <c r="J142" s="6">
        <v>46123.0</v>
      </c>
      <c r="K142" s="6">
        <v>46123.0</v>
      </c>
      <c r="L142" s="6">
        <v>46133.0</v>
      </c>
      <c r="M142" s="7"/>
      <c r="N142" s="7"/>
      <c r="O142" s="7"/>
      <c r="P142" s="5" t="s">
        <v>29</v>
      </c>
      <c r="Q142" s="8">
        <v>0.2</v>
      </c>
      <c r="R142" s="5" t="s">
        <v>438</v>
      </c>
      <c r="S142" s="7"/>
    </row>
    <row r="143" ht="15.75" customHeight="1">
      <c r="A143" s="5" t="s">
        <v>439</v>
      </c>
      <c r="B143" s="5" t="s">
        <v>20</v>
      </c>
      <c r="C143" s="5" t="s">
        <v>21</v>
      </c>
      <c r="D143" s="5" t="s">
        <v>89</v>
      </c>
      <c r="E143" s="5" t="s">
        <v>23</v>
      </c>
      <c r="F143" s="5" t="s">
        <v>63</v>
      </c>
      <c r="G143" s="5" t="s">
        <v>79</v>
      </c>
      <c r="H143" s="5" t="s">
        <v>26</v>
      </c>
      <c r="I143" s="5" t="s">
        <v>42</v>
      </c>
      <c r="J143" s="6">
        <v>46123.0</v>
      </c>
      <c r="K143" s="6">
        <v>46123.0</v>
      </c>
      <c r="L143" s="6">
        <v>46133.0</v>
      </c>
      <c r="M143" s="7"/>
      <c r="N143" s="7"/>
      <c r="O143" s="7"/>
      <c r="P143" s="5" t="s">
        <v>29</v>
      </c>
      <c r="Q143" s="8">
        <v>0.3</v>
      </c>
      <c r="R143" s="5" t="s">
        <v>440</v>
      </c>
      <c r="S143" s="23" t="s">
        <v>441</v>
      </c>
    </row>
    <row r="144" ht="15.75" customHeight="1">
      <c r="A144" s="5" t="s">
        <v>442</v>
      </c>
      <c r="B144" s="5" t="s">
        <v>20</v>
      </c>
      <c r="C144" s="5" t="s">
        <v>50</v>
      </c>
      <c r="D144" s="5" t="s">
        <v>89</v>
      </c>
      <c r="E144" s="5" t="s">
        <v>325</v>
      </c>
      <c r="F144" s="5" t="s">
        <v>63</v>
      </c>
      <c r="G144" s="5" t="s">
        <v>358</v>
      </c>
      <c r="H144" s="5" t="s">
        <v>26</v>
      </c>
      <c r="I144" s="5" t="s">
        <v>42</v>
      </c>
      <c r="J144" s="6">
        <v>46123.0</v>
      </c>
      <c r="K144" s="6">
        <v>46123.0</v>
      </c>
      <c r="L144" s="6">
        <v>46129.0</v>
      </c>
      <c r="M144" s="7"/>
      <c r="N144" s="7"/>
      <c r="O144" s="7"/>
      <c r="P144" s="7"/>
      <c r="Q144" s="21"/>
      <c r="R144" s="7"/>
      <c r="S144" s="7"/>
    </row>
    <row r="145" ht="15.75" customHeight="1">
      <c r="A145" s="5" t="s">
        <v>443</v>
      </c>
      <c r="B145" s="5" t="s">
        <v>20</v>
      </c>
      <c r="C145" s="5" t="s">
        <v>50</v>
      </c>
      <c r="D145" s="5" t="s">
        <v>89</v>
      </c>
      <c r="E145" s="5" t="s">
        <v>325</v>
      </c>
      <c r="F145" s="5" t="s">
        <v>63</v>
      </c>
      <c r="G145" s="5" t="s">
        <v>358</v>
      </c>
      <c r="H145" s="43" t="s">
        <v>320</v>
      </c>
      <c r="I145" s="5" t="s">
        <v>42</v>
      </c>
      <c r="J145" s="6">
        <v>46125.0</v>
      </c>
      <c r="K145" s="6">
        <v>46094.0</v>
      </c>
      <c r="L145" s="6">
        <v>46162.0</v>
      </c>
      <c r="M145" s="7"/>
      <c r="N145" s="7"/>
      <c r="O145" s="5" t="s">
        <v>444</v>
      </c>
      <c r="P145" s="5" t="s">
        <v>209</v>
      </c>
      <c r="Q145" s="8">
        <v>0.4</v>
      </c>
      <c r="R145" s="7"/>
      <c r="S145" s="7"/>
    </row>
    <row r="146" ht="15.75" customHeight="1">
      <c r="A146" s="5" t="s">
        <v>445</v>
      </c>
      <c r="B146" s="5" t="s">
        <v>20</v>
      </c>
      <c r="C146" s="5" t="s">
        <v>21</v>
      </c>
      <c r="D146" s="5" t="s">
        <v>89</v>
      </c>
      <c r="E146" s="5" t="s">
        <v>23</v>
      </c>
      <c r="F146" s="5" t="s">
        <v>63</v>
      </c>
      <c r="G146" s="5" t="s">
        <v>79</v>
      </c>
      <c r="H146" s="5" t="s">
        <v>26</v>
      </c>
      <c r="I146" s="5" t="s">
        <v>27</v>
      </c>
      <c r="J146" s="6">
        <v>46128.0</v>
      </c>
      <c r="K146" s="6">
        <v>46128.0</v>
      </c>
      <c r="L146" s="6">
        <v>46135.0</v>
      </c>
      <c r="M146" s="7"/>
      <c r="N146" s="7"/>
      <c r="O146" s="7"/>
      <c r="P146" s="5" t="s">
        <v>29</v>
      </c>
      <c r="Q146" s="21"/>
      <c r="R146" s="44" t="s">
        <v>446</v>
      </c>
      <c r="S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4"/>
      <c r="K147" s="14"/>
      <c r="L147" s="14"/>
      <c r="M147" s="7"/>
      <c r="N147" s="7"/>
      <c r="O147" s="7"/>
      <c r="P147" s="7"/>
      <c r="Q147" s="21"/>
      <c r="R147" s="7"/>
      <c r="S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4"/>
      <c r="K148" s="14"/>
      <c r="L148" s="14"/>
      <c r="M148" s="7"/>
      <c r="N148" s="7"/>
      <c r="O148" s="7"/>
      <c r="P148" s="7"/>
      <c r="Q148" s="21"/>
      <c r="R148" s="7"/>
      <c r="S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4"/>
      <c r="K149" s="14"/>
      <c r="L149" s="14"/>
      <c r="M149" s="7"/>
      <c r="N149" s="7"/>
      <c r="O149" s="7"/>
      <c r="P149" s="7"/>
      <c r="Q149" s="21"/>
      <c r="R149" s="7"/>
      <c r="S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4"/>
      <c r="K150" s="14"/>
      <c r="L150" s="14"/>
      <c r="M150" s="7"/>
      <c r="N150" s="7"/>
      <c r="O150" s="7"/>
      <c r="P150" s="7"/>
      <c r="Q150" s="21"/>
      <c r="R150" s="7"/>
      <c r="S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4"/>
      <c r="K151" s="14"/>
      <c r="L151" s="14"/>
      <c r="M151" s="7"/>
      <c r="N151" s="7"/>
      <c r="O151" s="7"/>
      <c r="P151" s="7"/>
      <c r="Q151" s="21"/>
      <c r="R151" s="7"/>
      <c r="S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4"/>
      <c r="K152" s="14"/>
      <c r="L152" s="14"/>
      <c r="M152" s="7"/>
      <c r="N152" s="7"/>
      <c r="O152" s="7"/>
      <c r="P152" s="7"/>
      <c r="Q152" s="21"/>
      <c r="R152" s="7"/>
      <c r="S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4"/>
      <c r="K153" s="14"/>
      <c r="L153" s="14"/>
      <c r="M153" s="7"/>
      <c r="N153" s="7"/>
      <c r="O153" s="7"/>
      <c r="P153" s="7"/>
      <c r="Q153" s="21"/>
      <c r="R153" s="7"/>
      <c r="S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4"/>
      <c r="K154" s="14"/>
      <c r="L154" s="14"/>
      <c r="M154" s="7"/>
      <c r="N154" s="7"/>
      <c r="O154" s="7"/>
      <c r="P154" s="7"/>
      <c r="Q154" s="21"/>
      <c r="R154" s="7"/>
      <c r="S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4"/>
      <c r="K155" s="14"/>
      <c r="L155" s="14"/>
      <c r="M155" s="7"/>
      <c r="N155" s="7"/>
      <c r="O155" s="7"/>
      <c r="P155" s="7"/>
      <c r="Q155" s="21"/>
      <c r="R155" s="7"/>
      <c r="S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4"/>
      <c r="K156" s="14"/>
      <c r="L156" s="14"/>
      <c r="M156" s="7"/>
      <c r="N156" s="7"/>
      <c r="O156" s="7"/>
      <c r="P156" s="7"/>
      <c r="Q156" s="21"/>
      <c r="R156" s="7"/>
      <c r="S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4"/>
      <c r="K157" s="14"/>
      <c r="L157" s="14"/>
      <c r="M157" s="7"/>
      <c r="N157" s="7"/>
      <c r="O157" s="7"/>
      <c r="P157" s="7"/>
      <c r="Q157" s="21"/>
      <c r="R157" s="7"/>
      <c r="S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4"/>
      <c r="K158" s="14"/>
      <c r="L158" s="14"/>
      <c r="M158" s="7"/>
      <c r="N158" s="7"/>
      <c r="O158" s="7"/>
      <c r="P158" s="7"/>
      <c r="Q158" s="21"/>
      <c r="R158" s="7"/>
      <c r="S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4"/>
      <c r="K159" s="14"/>
      <c r="L159" s="14"/>
      <c r="M159" s="7"/>
      <c r="N159" s="7"/>
      <c r="O159" s="7"/>
      <c r="P159" s="7"/>
      <c r="Q159" s="21"/>
      <c r="R159" s="7"/>
      <c r="S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4"/>
      <c r="K160" s="14"/>
      <c r="L160" s="14"/>
      <c r="M160" s="7"/>
      <c r="N160" s="7"/>
      <c r="O160" s="7"/>
      <c r="P160" s="7"/>
      <c r="Q160" s="21"/>
      <c r="R160" s="7"/>
      <c r="S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4"/>
      <c r="K161" s="14"/>
      <c r="L161" s="14"/>
      <c r="M161" s="7"/>
      <c r="N161" s="7"/>
      <c r="O161" s="7"/>
      <c r="P161" s="7"/>
      <c r="Q161" s="21"/>
      <c r="R161" s="7"/>
      <c r="S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4"/>
      <c r="K162" s="14"/>
      <c r="L162" s="14"/>
      <c r="M162" s="7"/>
      <c r="N162" s="7"/>
      <c r="O162" s="7"/>
      <c r="P162" s="7"/>
      <c r="Q162" s="21"/>
      <c r="R162" s="7"/>
      <c r="S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4"/>
      <c r="K163" s="14"/>
      <c r="L163" s="14"/>
      <c r="M163" s="7"/>
      <c r="N163" s="7"/>
      <c r="O163" s="7"/>
      <c r="P163" s="7"/>
      <c r="Q163" s="21"/>
      <c r="R163" s="7"/>
      <c r="S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4"/>
      <c r="K164" s="14"/>
      <c r="L164" s="14"/>
      <c r="M164" s="7"/>
      <c r="N164" s="7"/>
      <c r="O164" s="7"/>
      <c r="P164" s="7"/>
      <c r="Q164" s="21"/>
      <c r="R164" s="7"/>
      <c r="S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4"/>
      <c r="K165" s="14"/>
      <c r="L165" s="14"/>
      <c r="M165" s="7"/>
      <c r="N165" s="7"/>
      <c r="O165" s="7"/>
      <c r="P165" s="7"/>
      <c r="Q165" s="21"/>
      <c r="R165" s="7"/>
      <c r="S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4"/>
      <c r="K166" s="14"/>
      <c r="L166" s="14"/>
      <c r="M166" s="7"/>
      <c r="N166" s="7"/>
      <c r="O166" s="7"/>
      <c r="P166" s="7"/>
      <c r="Q166" s="21"/>
      <c r="R166" s="7"/>
      <c r="S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4"/>
      <c r="K167" s="14"/>
      <c r="L167" s="14"/>
      <c r="M167" s="7"/>
      <c r="N167" s="7"/>
      <c r="O167" s="7"/>
      <c r="P167" s="7"/>
      <c r="Q167" s="21"/>
      <c r="R167" s="7"/>
      <c r="S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4"/>
      <c r="K168" s="14"/>
      <c r="L168" s="14"/>
      <c r="M168" s="7"/>
      <c r="N168" s="7"/>
      <c r="O168" s="7"/>
      <c r="P168" s="7"/>
      <c r="Q168" s="21"/>
      <c r="R168" s="7"/>
      <c r="S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4"/>
      <c r="K169" s="14"/>
      <c r="L169" s="14"/>
      <c r="M169" s="7"/>
      <c r="N169" s="7"/>
      <c r="O169" s="7"/>
      <c r="P169" s="7"/>
      <c r="Q169" s="21"/>
      <c r="R169" s="7"/>
      <c r="S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4"/>
      <c r="K170" s="14"/>
      <c r="L170" s="14"/>
      <c r="M170" s="7"/>
      <c r="N170" s="7"/>
      <c r="O170" s="7"/>
      <c r="P170" s="7"/>
      <c r="Q170" s="21"/>
      <c r="R170" s="7"/>
      <c r="S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4"/>
      <c r="K171" s="14"/>
      <c r="L171" s="14"/>
      <c r="M171" s="7"/>
      <c r="N171" s="7"/>
      <c r="O171" s="7"/>
      <c r="P171" s="7"/>
      <c r="Q171" s="21"/>
      <c r="R171" s="7"/>
      <c r="S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4"/>
      <c r="K172" s="14"/>
      <c r="L172" s="14"/>
      <c r="M172" s="7"/>
      <c r="N172" s="7"/>
      <c r="O172" s="7"/>
      <c r="P172" s="7"/>
      <c r="Q172" s="21"/>
      <c r="R172" s="7"/>
      <c r="S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4"/>
      <c r="K173" s="14"/>
      <c r="L173" s="14"/>
      <c r="M173" s="7"/>
      <c r="N173" s="7"/>
      <c r="O173" s="7"/>
      <c r="P173" s="7"/>
      <c r="Q173" s="21"/>
      <c r="R173" s="7"/>
      <c r="S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4"/>
      <c r="K174" s="14"/>
      <c r="L174" s="14"/>
      <c r="M174" s="7"/>
      <c r="N174" s="7"/>
      <c r="O174" s="7"/>
      <c r="P174" s="7"/>
      <c r="Q174" s="21"/>
      <c r="R174" s="7"/>
      <c r="S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4"/>
      <c r="K175" s="14"/>
      <c r="L175" s="14"/>
      <c r="M175" s="7"/>
      <c r="N175" s="7"/>
      <c r="O175" s="7"/>
      <c r="P175" s="7"/>
      <c r="Q175" s="21"/>
      <c r="R175" s="7"/>
      <c r="S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4"/>
      <c r="K176" s="14"/>
      <c r="L176" s="14"/>
      <c r="M176" s="7"/>
      <c r="N176" s="7"/>
      <c r="O176" s="7"/>
      <c r="P176" s="7"/>
      <c r="Q176" s="21"/>
      <c r="R176" s="7"/>
      <c r="S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4"/>
      <c r="K177" s="14"/>
      <c r="L177" s="14"/>
      <c r="M177" s="7"/>
      <c r="N177" s="7"/>
      <c r="O177" s="7"/>
      <c r="P177" s="7"/>
      <c r="Q177" s="21"/>
      <c r="R177" s="7"/>
      <c r="S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4"/>
      <c r="K178" s="14"/>
      <c r="L178" s="14"/>
      <c r="M178" s="7"/>
      <c r="N178" s="7"/>
      <c r="O178" s="7"/>
      <c r="P178" s="7"/>
      <c r="Q178" s="21"/>
      <c r="R178" s="7"/>
      <c r="S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4"/>
      <c r="K179" s="14"/>
      <c r="L179" s="14"/>
      <c r="M179" s="7"/>
      <c r="N179" s="7"/>
      <c r="O179" s="7"/>
      <c r="P179" s="7"/>
      <c r="Q179" s="21"/>
      <c r="R179" s="7"/>
      <c r="S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4"/>
      <c r="K180" s="14"/>
      <c r="L180" s="14"/>
      <c r="M180" s="7"/>
      <c r="N180" s="7"/>
      <c r="O180" s="7"/>
      <c r="P180" s="7"/>
      <c r="Q180" s="21"/>
      <c r="R180" s="7"/>
      <c r="S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4"/>
      <c r="K181" s="14"/>
      <c r="L181" s="14"/>
      <c r="M181" s="7"/>
      <c r="N181" s="7"/>
      <c r="O181" s="7"/>
      <c r="P181" s="7"/>
      <c r="Q181" s="21"/>
      <c r="R181" s="7"/>
      <c r="S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4"/>
      <c r="K182" s="14"/>
      <c r="L182" s="14"/>
      <c r="M182" s="7"/>
      <c r="N182" s="7"/>
      <c r="O182" s="7"/>
      <c r="P182" s="7"/>
      <c r="Q182" s="21"/>
      <c r="R182" s="7"/>
      <c r="S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4"/>
      <c r="K183" s="14"/>
      <c r="L183" s="14"/>
      <c r="M183" s="7"/>
      <c r="N183" s="7"/>
      <c r="O183" s="7"/>
      <c r="P183" s="7"/>
      <c r="Q183" s="21"/>
      <c r="R183" s="7"/>
      <c r="S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4"/>
      <c r="K184" s="14"/>
      <c r="L184" s="14"/>
      <c r="M184" s="7"/>
      <c r="N184" s="7"/>
      <c r="O184" s="7"/>
      <c r="P184" s="7"/>
      <c r="Q184" s="21"/>
      <c r="R184" s="7"/>
      <c r="S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4"/>
      <c r="K185" s="14"/>
      <c r="L185" s="14"/>
      <c r="M185" s="7"/>
      <c r="N185" s="7"/>
      <c r="O185" s="7"/>
      <c r="P185" s="7"/>
      <c r="Q185" s="21"/>
      <c r="R185" s="7"/>
      <c r="S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4"/>
      <c r="K186" s="14"/>
      <c r="L186" s="14"/>
      <c r="M186" s="7"/>
      <c r="N186" s="7"/>
      <c r="O186" s="7"/>
      <c r="P186" s="7"/>
      <c r="Q186" s="21"/>
      <c r="R186" s="7"/>
      <c r="S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4"/>
      <c r="K187" s="14"/>
      <c r="L187" s="14"/>
      <c r="M187" s="7"/>
      <c r="N187" s="7"/>
      <c r="O187" s="7"/>
      <c r="P187" s="7"/>
      <c r="Q187" s="21"/>
      <c r="R187" s="7"/>
      <c r="S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4"/>
      <c r="K188" s="14"/>
      <c r="L188" s="14"/>
      <c r="M188" s="7"/>
      <c r="N188" s="7"/>
      <c r="O188" s="7"/>
      <c r="P188" s="7"/>
      <c r="Q188" s="21"/>
      <c r="R188" s="7"/>
      <c r="S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4"/>
      <c r="K189" s="14"/>
      <c r="L189" s="14"/>
      <c r="M189" s="7"/>
      <c r="N189" s="7"/>
      <c r="O189" s="7"/>
      <c r="P189" s="7"/>
      <c r="Q189" s="21"/>
      <c r="R189" s="7"/>
      <c r="S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4"/>
      <c r="K190" s="14"/>
      <c r="L190" s="14"/>
      <c r="M190" s="7"/>
      <c r="N190" s="7"/>
      <c r="O190" s="7"/>
      <c r="P190" s="7"/>
      <c r="Q190" s="21"/>
      <c r="R190" s="7"/>
      <c r="S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4"/>
      <c r="K191" s="14"/>
      <c r="L191" s="14"/>
      <c r="M191" s="7"/>
      <c r="N191" s="7"/>
      <c r="O191" s="7"/>
      <c r="P191" s="7"/>
      <c r="Q191" s="21"/>
      <c r="R191" s="7"/>
      <c r="S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4"/>
      <c r="K192" s="14"/>
      <c r="L192" s="14"/>
      <c r="M192" s="7"/>
      <c r="N192" s="7"/>
      <c r="O192" s="7"/>
      <c r="P192" s="7"/>
      <c r="Q192" s="21"/>
      <c r="R192" s="7"/>
      <c r="S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4"/>
      <c r="K193" s="14"/>
      <c r="L193" s="14"/>
      <c r="M193" s="7"/>
      <c r="N193" s="7"/>
      <c r="O193" s="7"/>
      <c r="P193" s="7"/>
      <c r="Q193" s="21"/>
      <c r="R193" s="7"/>
      <c r="S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4"/>
      <c r="K194" s="14"/>
      <c r="L194" s="14"/>
      <c r="M194" s="7"/>
      <c r="N194" s="7"/>
      <c r="O194" s="7"/>
      <c r="P194" s="7"/>
      <c r="Q194" s="21"/>
      <c r="R194" s="7"/>
      <c r="S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4"/>
      <c r="K195" s="14"/>
      <c r="L195" s="14"/>
      <c r="M195" s="7"/>
      <c r="N195" s="7"/>
      <c r="O195" s="7"/>
      <c r="P195" s="7"/>
      <c r="Q195" s="21"/>
      <c r="R195" s="7"/>
      <c r="S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4"/>
      <c r="K196" s="14"/>
      <c r="L196" s="14"/>
      <c r="M196" s="7"/>
      <c r="N196" s="7"/>
      <c r="O196" s="7"/>
      <c r="P196" s="7"/>
      <c r="Q196" s="21"/>
      <c r="R196" s="7"/>
      <c r="S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4"/>
      <c r="K197" s="14"/>
      <c r="L197" s="14"/>
      <c r="M197" s="7"/>
      <c r="N197" s="7"/>
      <c r="O197" s="7"/>
      <c r="P197" s="7"/>
      <c r="Q197" s="21"/>
      <c r="R197" s="7"/>
      <c r="S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4"/>
      <c r="K198" s="14"/>
      <c r="L198" s="14"/>
      <c r="M198" s="7"/>
      <c r="N198" s="7"/>
      <c r="O198" s="7"/>
      <c r="P198" s="7"/>
      <c r="Q198" s="21"/>
      <c r="R198" s="7"/>
      <c r="S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4"/>
      <c r="K199" s="14"/>
      <c r="L199" s="14"/>
      <c r="M199" s="7"/>
      <c r="N199" s="7"/>
      <c r="O199" s="7"/>
      <c r="P199" s="7"/>
      <c r="Q199" s="21"/>
      <c r="R199" s="7"/>
      <c r="S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4"/>
      <c r="K200" s="14"/>
      <c r="L200" s="14"/>
      <c r="M200" s="7"/>
      <c r="N200" s="7"/>
      <c r="O200" s="7"/>
      <c r="P200" s="7"/>
      <c r="Q200" s="21"/>
      <c r="R200" s="7"/>
      <c r="S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4"/>
      <c r="K201" s="14"/>
      <c r="L201" s="14"/>
      <c r="M201" s="7"/>
      <c r="N201" s="7"/>
      <c r="O201" s="7"/>
      <c r="P201" s="7"/>
      <c r="Q201" s="21"/>
      <c r="R201" s="7"/>
      <c r="S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4"/>
      <c r="K202" s="14"/>
      <c r="L202" s="14"/>
      <c r="M202" s="7"/>
      <c r="N202" s="7"/>
      <c r="O202" s="7"/>
      <c r="P202" s="7"/>
      <c r="Q202" s="21"/>
      <c r="R202" s="7"/>
      <c r="S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4"/>
      <c r="K203" s="14"/>
      <c r="L203" s="14"/>
      <c r="M203" s="7"/>
      <c r="N203" s="7"/>
      <c r="O203" s="7"/>
      <c r="P203" s="7"/>
      <c r="Q203" s="21"/>
      <c r="R203" s="7"/>
      <c r="S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4"/>
      <c r="K204" s="14"/>
      <c r="L204" s="14"/>
      <c r="M204" s="7"/>
      <c r="N204" s="7"/>
      <c r="O204" s="7"/>
      <c r="P204" s="7"/>
      <c r="Q204" s="21"/>
      <c r="R204" s="7"/>
      <c r="S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4"/>
      <c r="K205" s="14"/>
      <c r="L205" s="14"/>
      <c r="M205" s="7"/>
      <c r="N205" s="7"/>
      <c r="O205" s="7"/>
      <c r="P205" s="7"/>
      <c r="Q205" s="21"/>
      <c r="R205" s="7"/>
      <c r="S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4"/>
      <c r="K206" s="14"/>
      <c r="L206" s="14"/>
      <c r="M206" s="7"/>
      <c r="N206" s="7"/>
      <c r="O206" s="7"/>
      <c r="P206" s="7"/>
      <c r="Q206" s="21"/>
      <c r="R206" s="7"/>
      <c r="S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4"/>
      <c r="K207" s="14"/>
      <c r="L207" s="14"/>
      <c r="M207" s="7"/>
      <c r="N207" s="7"/>
      <c r="O207" s="7"/>
      <c r="P207" s="7"/>
      <c r="Q207" s="21"/>
      <c r="R207" s="7"/>
      <c r="S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4"/>
      <c r="K208" s="14"/>
      <c r="L208" s="14"/>
      <c r="M208" s="7"/>
      <c r="N208" s="7"/>
      <c r="O208" s="7"/>
      <c r="P208" s="7"/>
      <c r="Q208" s="21"/>
      <c r="R208" s="7"/>
      <c r="S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4"/>
      <c r="K209" s="14"/>
      <c r="L209" s="14"/>
      <c r="M209" s="7"/>
      <c r="N209" s="7"/>
      <c r="O209" s="7"/>
      <c r="P209" s="7"/>
      <c r="Q209" s="21"/>
      <c r="R209" s="7"/>
      <c r="S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4"/>
      <c r="K210" s="14"/>
      <c r="L210" s="14"/>
      <c r="M210" s="7"/>
      <c r="N210" s="7"/>
      <c r="O210" s="7"/>
      <c r="P210" s="7"/>
      <c r="Q210" s="21"/>
      <c r="R210" s="7"/>
      <c r="S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4"/>
      <c r="K211" s="14"/>
      <c r="L211" s="14"/>
      <c r="M211" s="7"/>
      <c r="N211" s="7"/>
      <c r="O211" s="7"/>
      <c r="P211" s="7"/>
      <c r="Q211" s="21"/>
      <c r="R211" s="7"/>
      <c r="S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4"/>
      <c r="K212" s="14"/>
      <c r="L212" s="14"/>
      <c r="M212" s="7"/>
      <c r="N212" s="7"/>
      <c r="O212" s="7"/>
      <c r="P212" s="7"/>
      <c r="Q212" s="21"/>
      <c r="R212" s="7"/>
      <c r="S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4"/>
      <c r="K213" s="14"/>
      <c r="L213" s="14"/>
      <c r="M213" s="7"/>
      <c r="N213" s="7"/>
      <c r="O213" s="7"/>
      <c r="P213" s="7"/>
      <c r="Q213" s="21"/>
      <c r="R213" s="7"/>
      <c r="S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4"/>
      <c r="K214" s="14"/>
      <c r="L214" s="14"/>
      <c r="M214" s="7"/>
      <c r="N214" s="7"/>
      <c r="O214" s="7"/>
      <c r="P214" s="7"/>
      <c r="Q214" s="21"/>
      <c r="R214" s="7"/>
      <c r="S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4"/>
      <c r="K215" s="14"/>
      <c r="L215" s="14"/>
      <c r="M215" s="7"/>
      <c r="N215" s="7"/>
      <c r="O215" s="7"/>
      <c r="P215" s="7"/>
      <c r="Q215" s="21"/>
      <c r="R215" s="7"/>
      <c r="S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4"/>
      <c r="K216" s="14"/>
      <c r="L216" s="14"/>
      <c r="M216" s="7"/>
      <c r="N216" s="7"/>
      <c r="O216" s="7"/>
      <c r="P216" s="7"/>
      <c r="Q216" s="21"/>
      <c r="R216" s="7"/>
      <c r="S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4"/>
      <c r="K217" s="14"/>
      <c r="L217" s="14"/>
      <c r="M217" s="7"/>
      <c r="N217" s="7"/>
      <c r="O217" s="7"/>
      <c r="P217" s="7"/>
      <c r="Q217" s="21"/>
      <c r="R217" s="7"/>
      <c r="S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4"/>
      <c r="K218" s="14"/>
      <c r="L218" s="14"/>
      <c r="M218" s="7"/>
      <c r="N218" s="7"/>
      <c r="O218" s="7"/>
      <c r="P218" s="7"/>
      <c r="Q218" s="21"/>
      <c r="R218" s="7"/>
      <c r="S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4"/>
      <c r="K219" s="14"/>
      <c r="L219" s="14"/>
      <c r="M219" s="7"/>
      <c r="N219" s="7"/>
      <c r="O219" s="7"/>
      <c r="P219" s="7"/>
      <c r="Q219" s="21"/>
      <c r="R219" s="7"/>
      <c r="S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4"/>
      <c r="K220" s="14"/>
      <c r="L220" s="14"/>
      <c r="M220" s="7"/>
      <c r="N220" s="7"/>
      <c r="O220" s="7"/>
      <c r="P220" s="7"/>
      <c r="Q220" s="21"/>
      <c r="R220" s="7"/>
      <c r="S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4"/>
      <c r="K221" s="14"/>
      <c r="L221" s="14"/>
      <c r="M221" s="7"/>
      <c r="N221" s="7"/>
      <c r="O221" s="7"/>
      <c r="P221" s="7"/>
      <c r="Q221" s="21"/>
      <c r="R221" s="7"/>
      <c r="S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4"/>
      <c r="K222" s="14"/>
      <c r="L222" s="14"/>
      <c r="M222" s="7"/>
      <c r="N222" s="7"/>
      <c r="O222" s="7"/>
      <c r="P222" s="7"/>
      <c r="Q222" s="21"/>
      <c r="R222" s="7"/>
      <c r="S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4"/>
      <c r="K223" s="14"/>
      <c r="L223" s="14"/>
      <c r="M223" s="7"/>
      <c r="N223" s="7"/>
      <c r="O223" s="7"/>
      <c r="P223" s="7"/>
      <c r="Q223" s="21"/>
      <c r="R223" s="7"/>
      <c r="S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4"/>
      <c r="K224" s="14"/>
      <c r="L224" s="14"/>
      <c r="M224" s="7"/>
      <c r="N224" s="7"/>
      <c r="O224" s="7"/>
      <c r="P224" s="7"/>
      <c r="Q224" s="21"/>
      <c r="R224" s="7"/>
      <c r="S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4"/>
      <c r="K225" s="14"/>
      <c r="L225" s="14"/>
      <c r="M225" s="7"/>
      <c r="N225" s="7"/>
      <c r="O225" s="7"/>
      <c r="P225" s="7"/>
      <c r="Q225" s="21"/>
      <c r="R225" s="7"/>
      <c r="S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4"/>
      <c r="K226" s="14"/>
      <c r="L226" s="14"/>
      <c r="M226" s="7"/>
      <c r="N226" s="7"/>
      <c r="O226" s="7"/>
      <c r="P226" s="7"/>
      <c r="Q226" s="21"/>
      <c r="R226" s="7"/>
      <c r="S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4"/>
      <c r="K227" s="14"/>
      <c r="L227" s="14"/>
      <c r="M227" s="7"/>
      <c r="N227" s="7"/>
      <c r="O227" s="7"/>
      <c r="P227" s="7"/>
      <c r="Q227" s="21"/>
      <c r="R227" s="7"/>
      <c r="S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4"/>
      <c r="K228" s="14"/>
      <c r="L228" s="14"/>
      <c r="M228" s="7"/>
      <c r="N228" s="7"/>
      <c r="O228" s="7"/>
      <c r="P228" s="7"/>
      <c r="Q228" s="21"/>
      <c r="R228" s="7"/>
      <c r="S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4"/>
      <c r="K229" s="14"/>
      <c r="L229" s="14"/>
      <c r="M229" s="7"/>
      <c r="N229" s="7"/>
      <c r="O229" s="7"/>
      <c r="P229" s="7"/>
      <c r="Q229" s="21"/>
      <c r="R229" s="7"/>
      <c r="S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4"/>
      <c r="K230" s="14"/>
      <c r="L230" s="14"/>
      <c r="M230" s="7"/>
      <c r="N230" s="7"/>
      <c r="O230" s="7"/>
      <c r="P230" s="7"/>
      <c r="Q230" s="21"/>
      <c r="R230" s="7"/>
      <c r="S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4"/>
      <c r="K231" s="14"/>
      <c r="L231" s="14"/>
      <c r="M231" s="7"/>
      <c r="N231" s="7"/>
      <c r="O231" s="7"/>
      <c r="P231" s="7"/>
      <c r="Q231" s="21"/>
      <c r="R231" s="7"/>
      <c r="S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4"/>
      <c r="K232" s="14"/>
      <c r="L232" s="14"/>
      <c r="M232" s="7"/>
      <c r="N232" s="7"/>
      <c r="O232" s="7"/>
      <c r="P232" s="7"/>
      <c r="Q232" s="21"/>
      <c r="R232" s="7"/>
      <c r="S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4"/>
      <c r="K233" s="14"/>
      <c r="L233" s="14"/>
      <c r="M233" s="7"/>
      <c r="N233" s="7"/>
      <c r="O233" s="7"/>
      <c r="P233" s="7"/>
      <c r="Q233" s="21"/>
      <c r="R233" s="7"/>
      <c r="S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4"/>
      <c r="K234" s="14"/>
      <c r="L234" s="14"/>
      <c r="M234" s="7"/>
      <c r="N234" s="7"/>
      <c r="O234" s="7"/>
      <c r="P234" s="7"/>
      <c r="Q234" s="21"/>
      <c r="R234" s="7"/>
      <c r="S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4"/>
      <c r="K235" s="14"/>
      <c r="L235" s="14"/>
      <c r="M235" s="7"/>
      <c r="N235" s="7"/>
      <c r="O235" s="7"/>
      <c r="P235" s="7"/>
      <c r="Q235" s="21"/>
      <c r="R235" s="7"/>
      <c r="S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4"/>
      <c r="K236" s="14"/>
      <c r="L236" s="14"/>
      <c r="M236" s="7"/>
      <c r="N236" s="7"/>
      <c r="O236" s="7"/>
      <c r="P236" s="7"/>
      <c r="Q236" s="21"/>
      <c r="R236" s="7"/>
      <c r="S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4"/>
      <c r="K237" s="14"/>
      <c r="L237" s="14"/>
      <c r="M237" s="7"/>
      <c r="N237" s="7"/>
      <c r="O237" s="7"/>
      <c r="P237" s="7"/>
      <c r="Q237" s="21"/>
      <c r="R237" s="7"/>
      <c r="S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4"/>
      <c r="K238" s="14"/>
      <c r="L238" s="14"/>
      <c r="M238" s="7"/>
      <c r="N238" s="7"/>
      <c r="O238" s="7"/>
      <c r="P238" s="7"/>
      <c r="Q238" s="21"/>
      <c r="R238" s="7"/>
      <c r="S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4"/>
      <c r="K239" s="14"/>
      <c r="L239" s="14"/>
      <c r="M239" s="7"/>
      <c r="N239" s="7"/>
      <c r="O239" s="7"/>
      <c r="P239" s="7"/>
      <c r="Q239" s="21"/>
      <c r="R239" s="7"/>
      <c r="S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4"/>
      <c r="K240" s="14"/>
      <c r="L240" s="14"/>
      <c r="M240" s="7"/>
      <c r="N240" s="7"/>
      <c r="O240" s="7"/>
      <c r="P240" s="7"/>
      <c r="Q240" s="21"/>
      <c r="R240" s="7"/>
      <c r="S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4"/>
      <c r="K241" s="14"/>
      <c r="L241" s="14"/>
      <c r="M241" s="7"/>
      <c r="N241" s="7"/>
      <c r="O241" s="7"/>
      <c r="P241" s="7"/>
      <c r="Q241" s="21"/>
      <c r="R241" s="7"/>
      <c r="S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4"/>
      <c r="K242" s="14"/>
      <c r="L242" s="14"/>
      <c r="M242" s="7"/>
      <c r="N242" s="7"/>
      <c r="O242" s="7"/>
      <c r="P242" s="7"/>
      <c r="Q242" s="21"/>
      <c r="R242" s="7"/>
      <c r="S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4"/>
      <c r="K243" s="14"/>
      <c r="L243" s="14"/>
      <c r="M243" s="7"/>
      <c r="N243" s="7"/>
      <c r="O243" s="7"/>
      <c r="P243" s="7"/>
      <c r="Q243" s="21"/>
      <c r="R243" s="7"/>
      <c r="S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4"/>
      <c r="K244" s="14"/>
      <c r="L244" s="14"/>
      <c r="M244" s="7"/>
      <c r="N244" s="7"/>
      <c r="O244" s="7"/>
      <c r="P244" s="7"/>
      <c r="Q244" s="21"/>
      <c r="R244" s="7"/>
      <c r="S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4"/>
      <c r="K245" s="14"/>
      <c r="L245" s="14"/>
      <c r="M245" s="7"/>
      <c r="N245" s="7"/>
      <c r="O245" s="7"/>
      <c r="P245" s="7"/>
      <c r="Q245" s="21"/>
      <c r="R245" s="7"/>
      <c r="S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4"/>
      <c r="K246" s="14"/>
      <c r="L246" s="14"/>
      <c r="M246" s="7"/>
      <c r="N246" s="7"/>
      <c r="O246" s="7"/>
      <c r="P246" s="7"/>
      <c r="Q246" s="21"/>
      <c r="R246" s="7"/>
      <c r="S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4"/>
      <c r="K247" s="14"/>
      <c r="L247" s="14"/>
      <c r="M247" s="7"/>
      <c r="N247" s="7"/>
      <c r="O247" s="7"/>
      <c r="P247" s="7"/>
      <c r="Q247" s="21"/>
      <c r="R247" s="7"/>
      <c r="S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4"/>
      <c r="K248" s="14"/>
      <c r="L248" s="14"/>
      <c r="M248" s="7"/>
      <c r="N248" s="7"/>
      <c r="O248" s="7"/>
      <c r="P248" s="7"/>
      <c r="Q248" s="21"/>
      <c r="R248" s="7"/>
      <c r="S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4"/>
      <c r="K249" s="14"/>
      <c r="L249" s="14"/>
      <c r="M249" s="7"/>
      <c r="N249" s="7"/>
      <c r="O249" s="7"/>
      <c r="P249" s="7"/>
      <c r="Q249" s="21"/>
      <c r="R249" s="7"/>
      <c r="S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4"/>
      <c r="K250" s="14"/>
      <c r="L250" s="14"/>
      <c r="M250" s="7"/>
      <c r="N250" s="7"/>
      <c r="O250" s="7"/>
      <c r="P250" s="7"/>
      <c r="Q250" s="21"/>
      <c r="R250" s="7"/>
      <c r="S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4"/>
      <c r="K251" s="14"/>
      <c r="L251" s="14"/>
      <c r="M251" s="7"/>
      <c r="N251" s="7"/>
      <c r="O251" s="7"/>
      <c r="P251" s="7"/>
      <c r="Q251" s="21"/>
      <c r="R251" s="7"/>
      <c r="S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4"/>
      <c r="K252" s="14"/>
      <c r="L252" s="14"/>
      <c r="M252" s="7"/>
      <c r="N252" s="7"/>
      <c r="O252" s="7"/>
      <c r="P252" s="7"/>
      <c r="Q252" s="21"/>
      <c r="R252" s="7"/>
      <c r="S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4"/>
      <c r="K253" s="14"/>
      <c r="L253" s="14"/>
      <c r="M253" s="7"/>
      <c r="N253" s="7"/>
      <c r="O253" s="7"/>
      <c r="P253" s="7"/>
      <c r="Q253" s="21"/>
      <c r="R253" s="7"/>
      <c r="S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4"/>
      <c r="K254" s="14"/>
      <c r="L254" s="14"/>
      <c r="M254" s="7"/>
      <c r="N254" s="7"/>
      <c r="O254" s="7"/>
      <c r="P254" s="7"/>
      <c r="Q254" s="21"/>
      <c r="R254" s="7"/>
      <c r="S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4"/>
      <c r="K255" s="14"/>
      <c r="L255" s="14"/>
      <c r="M255" s="7"/>
      <c r="N255" s="7"/>
      <c r="O255" s="7"/>
      <c r="P255" s="7"/>
      <c r="Q255" s="21"/>
      <c r="R255" s="7"/>
      <c r="S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4"/>
      <c r="K256" s="14"/>
      <c r="L256" s="14"/>
      <c r="M256" s="7"/>
      <c r="N256" s="7"/>
      <c r="O256" s="7"/>
      <c r="P256" s="7"/>
      <c r="Q256" s="21"/>
      <c r="R256" s="7"/>
      <c r="S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4"/>
      <c r="K257" s="14"/>
      <c r="L257" s="14"/>
      <c r="M257" s="7"/>
      <c r="N257" s="7"/>
      <c r="O257" s="7"/>
      <c r="P257" s="7"/>
      <c r="Q257" s="21"/>
      <c r="R257" s="7"/>
      <c r="S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4"/>
      <c r="K258" s="14"/>
      <c r="L258" s="14"/>
      <c r="M258" s="7"/>
      <c r="N258" s="7"/>
      <c r="O258" s="7"/>
      <c r="P258" s="7"/>
      <c r="Q258" s="21"/>
      <c r="R258" s="7"/>
      <c r="S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4"/>
      <c r="K259" s="14"/>
      <c r="L259" s="14"/>
      <c r="M259" s="7"/>
      <c r="N259" s="7"/>
      <c r="O259" s="7"/>
      <c r="P259" s="7"/>
      <c r="Q259" s="21"/>
      <c r="R259" s="7"/>
      <c r="S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4"/>
      <c r="K260" s="14"/>
      <c r="L260" s="14"/>
      <c r="M260" s="7"/>
      <c r="N260" s="7"/>
      <c r="O260" s="7"/>
      <c r="P260" s="7"/>
      <c r="Q260" s="21"/>
      <c r="R260" s="7"/>
      <c r="S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4"/>
      <c r="K261" s="14"/>
      <c r="L261" s="14"/>
      <c r="M261" s="7"/>
      <c r="N261" s="7"/>
      <c r="O261" s="7"/>
      <c r="P261" s="7"/>
      <c r="Q261" s="21"/>
      <c r="R261" s="7"/>
      <c r="S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4"/>
      <c r="K262" s="14"/>
      <c r="L262" s="14"/>
      <c r="M262" s="7"/>
      <c r="N262" s="7"/>
      <c r="O262" s="7"/>
      <c r="P262" s="7"/>
      <c r="Q262" s="21"/>
      <c r="R262" s="7"/>
      <c r="S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4"/>
      <c r="K263" s="14"/>
      <c r="L263" s="14"/>
      <c r="M263" s="7"/>
      <c r="N263" s="7"/>
      <c r="O263" s="7"/>
      <c r="P263" s="7"/>
      <c r="Q263" s="21"/>
      <c r="R263" s="7"/>
      <c r="S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4"/>
      <c r="K264" s="14"/>
      <c r="L264" s="14"/>
      <c r="M264" s="7"/>
      <c r="N264" s="7"/>
      <c r="O264" s="7"/>
      <c r="P264" s="7"/>
      <c r="Q264" s="21"/>
      <c r="R264" s="7"/>
      <c r="S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4"/>
      <c r="K265" s="14"/>
      <c r="L265" s="14"/>
      <c r="M265" s="7"/>
      <c r="N265" s="7"/>
      <c r="O265" s="7"/>
      <c r="P265" s="7"/>
      <c r="Q265" s="21"/>
      <c r="R265" s="7"/>
      <c r="S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4"/>
      <c r="K266" s="14"/>
      <c r="L266" s="14"/>
      <c r="M266" s="7"/>
      <c r="N266" s="7"/>
      <c r="O266" s="7"/>
      <c r="P266" s="7"/>
      <c r="Q266" s="21"/>
      <c r="R266" s="7"/>
      <c r="S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4"/>
      <c r="K267" s="14"/>
      <c r="L267" s="14"/>
      <c r="M267" s="7"/>
      <c r="N267" s="7"/>
      <c r="O267" s="7"/>
      <c r="P267" s="7"/>
      <c r="Q267" s="21"/>
      <c r="R267" s="7"/>
      <c r="S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4"/>
      <c r="K268" s="14"/>
      <c r="L268" s="14"/>
      <c r="M268" s="7"/>
      <c r="N268" s="7"/>
      <c r="O268" s="7"/>
      <c r="P268" s="7"/>
      <c r="Q268" s="21"/>
      <c r="R268" s="7"/>
      <c r="S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4"/>
      <c r="K269" s="14"/>
      <c r="L269" s="14"/>
      <c r="M269" s="7"/>
      <c r="N269" s="7"/>
      <c r="O269" s="7"/>
      <c r="P269" s="7"/>
      <c r="Q269" s="21"/>
      <c r="R269" s="7"/>
      <c r="S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4"/>
      <c r="K270" s="14"/>
      <c r="L270" s="14"/>
      <c r="M270" s="7"/>
      <c r="N270" s="7"/>
      <c r="O270" s="7"/>
      <c r="P270" s="7"/>
      <c r="Q270" s="21"/>
      <c r="R270" s="7"/>
      <c r="S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4"/>
      <c r="K271" s="14"/>
      <c r="L271" s="14"/>
      <c r="M271" s="7"/>
      <c r="N271" s="7"/>
      <c r="O271" s="7"/>
      <c r="P271" s="7"/>
      <c r="Q271" s="21"/>
      <c r="R271" s="7"/>
      <c r="S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4"/>
      <c r="K272" s="14"/>
      <c r="L272" s="14"/>
      <c r="M272" s="7"/>
      <c r="N272" s="7"/>
      <c r="O272" s="7"/>
      <c r="P272" s="7"/>
      <c r="Q272" s="21"/>
      <c r="R272" s="7"/>
      <c r="S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4"/>
      <c r="K273" s="14"/>
      <c r="L273" s="14"/>
      <c r="M273" s="7"/>
      <c r="N273" s="7"/>
      <c r="O273" s="7"/>
      <c r="P273" s="7"/>
      <c r="Q273" s="21"/>
      <c r="R273" s="7"/>
      <c r="S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4"/>
      <c r="K274" s="14"/>
      <c r="L274" s="14"/>
      <c r="M274" s="7"/>
      <c r="N274" s="7"/>
      <c r="O274" s="7"/>
      <c r="P274" s="7"/>
      <c r="Q274" s="21"/>
      <c r="R274" s="7"/>
      <c r="S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4"/>
      <c r="K275" s="14"/>
      <c r="L275" s="14"/>
      <c r="M275" s="7"/>
      <c r="N275" s="7"/>
      <c r="O275" s="7"/>
      <c r="P275" s="7"/>
      <c r="Q275" s="21"/>
      <c r="R275" s="7"/>
      <c r="S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4"/>
      <c r="K276" s="14"/>
      <c r="L276" s="14"/>
      <c r="M276" s="7"/>
      <c r="N276" s="7"/>
      <c r="O276" s="7"/>
      <c r="P276" s="7"/>
      <c r="Q276" s="21"/>
      <c r="R276" s="7"/>
      <c r="S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4"/>
      <c r="K277" s="14"/>
      <c r="L277" s="14"/>
      <c r="M277" s="7"/>
      <c r="N277" s="7"/>
      <c r="O277" s="7"/>
      <c r="P277" s="7"/>
      <c r="Q277" s="21"/>
      <c r="R277" s="7"/>
      <c r="S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4"/>
      <c r="K278" s="14"/>
      <c r="L278" s="14"/>
      <c r="M278" s="7"/>
      <c r="N278" s="7"/>
      <c r="O278" s="7"/>
      <c r="P278" s="7"/>
      <c r="Q278" s="21"/>
      <c r="R278" s="7"/>
      <c r="S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4"/>
      <c r="K279" s="14"/>
      <c r="L279" s="14"/>
      <c r="M279" s="7"/>
      <c r="N279" s="7"/>
      <c r="O279" s="7"/>
      <c r="P279" s="7"/>
      <c r="Q279" s="21"/>
      <c r="R279" s="7"/>
      <c r="S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4"/>
      <c r="K280" s="14"/>
      <c r="L280" s="14"/>
      <c r="M280" s="7"/>
      <c r="N280" s="7"/>
      <c r="O280" s="7"/>
      <c r="P280" s="7"/>
      <c r="Q280" s="21"/>
      <c r="R280" s="7"/>
      <c r="S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4"/>
      <c r="K281" s="14"/>
      <c r="L281" s="14"/>
      <c r="M281" s="7"/>
      <c r="N281" s="7"/>
      <c r="O281" s="7"/>
      <c r="P281" s="7"/>
      <c r="Q281" s="21"/>
      <c r="R281" s="7"/>
      <c r="S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4"/>
      <c r="K282" s="14"/>
      <c r="L282" s="14"/>
      <c r="M282" s="7"/>
      <c r="N282" s="7"/>
      <c r="O282" s="7"/>
      <c r="P282" s="7"/>
      <c r="Q282" s="21"/>
      <c r="R282" s="7"/>
      <c r="S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4"/>
      <c r="K283" s="14"/>
      <c r="L283" s="14"/>
      <c r="M283" s="7"/>
      <c r="N283" s="7"/>
      <c r="O283" s="7"/>
      <c r="P283" s="7"/>
      <c r="Q283" s="21"/>
      <c r="R283" s="7"/>
      <c r="S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4"/>
      <c r="K284" s="14"/>
      <c r="L284" s="14"/>
      <c r="M284" s="7"/>
      <c r="N284" s="7"/>
      <c r="O284" s="7"/>
      <c r="P284" s="7"/>
      <c r="Q284" s="21"/>
      <c r="R284" s="7"/>
      <c r="S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4"/>
      <c r="K285" s="14"/>
      <c r="L285" s="14"/>
      <c r="M285" s="7"/>
      <c r="N285" s="7"/>
      <c r="O285" s="7"/>
      <c r="P285" s="7"/>
      <c r="Q285" s="21"/>
      <c r="R285" s="7"/>
      <c r="S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4"/>
      <c r="K286" s="14"/>
      <c r="L286" s="14"/>
      <c r="M286" s="7"/>
      <c r="N286" s="7"/>
      <c r="O286" s="7"/>
      <c r="P286" s="7"/>
      <c r="Q286" s="21"/>
      <c r="R286" s="7"/>
      <c r="S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4"/>
      <c r="K287" s="14"/>
      <c r="L287" s="14"/>
      <c r="M287" s="7"/>
      <c r="N287" s="7"/>
      <c r="O287" s="7"/>
      <c r="P287" s="7"/>
      <c r="Q287" s="21"/>
      <c r="R287" s="7"/>
      <c r="S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4"/>
      <c r="K288" s="14"/>
      <c r="L288" s="14"/>
      <c r="M288" s="7"/>
      <c r="N288" s="7"/>
      <c r="O288" s="7"/>
      <c r="P288" s="7"/>
      <c r="Q288" s="21"/>
      <c r="R288" s="7"/>
      <c r="S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4"/>
      <c r="K289" s="14"/>
      <c r="L289" s="14"/>
      <c r="M289" s="7"/>
      <c r="N289" s="7"/>
      <c r="O289" s="7"/>
      <c r="P289" s="7"/>
      <c r="Q289" s="21"/>
      <c r="R289" s="7"/>
      <c r="S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4"/>
      <c r="K290" s="14"/>
      <c r="L290" s="14"/>
      <c r="M290" s="7"/>
      <c r="N290" s="7"/>
      <c r="O290" s="7"/>
      <c r="P290" s="7"/>
      <c r="Q290" s="21"/>
      <c r="R290" s="7"/>
      <c r="S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4"/>
      <c r="K291" s="14"/>
      <c r="L291" s="14"/>
      <c r="M291" s="7"/>
      <c r="N291" s="7"/>
      <c r="O291" s="7"/>
      <c r="P291" s="7"/>
      <c r="Q291" s="21"/>
      <c r="R291" s="7"/>
      <c r="S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4"/>
      <c r="K292" s="14"/>
      <c r="L292" s="14"/>
      <c r="M292" s="7"/>
      <c r="N292" s="7"/>
      <c r="O292" s="7"/>
      <c r="P292" s="7"/>
      <c r="Q292" s="21"/>
      <c r="R292" s="7"/>
      <c r="S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4"/>
      <c r="K293" s="14"/>
      <c r="L293" s="14"/>
      <c r="M293" s="7"/>
      <c r="N293" s="7"/>
      <c r="O293" s="7"/>
      <c r="P293" s="7"/>
      <c r="Q293" s="21"/>
      <c r="R293" s="7"/>
      <c r="S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4"/>
      <c r="K294" s="14"/>
      <c r="L294" s="14"/>
      <c r="M294" s="7"/>
      <c r="N294" s="7"/>
      <c r="O294" s="7"/>
      <c r="P294" s="7"/>
      <c r="Q294" s="21"/>
      <c r="R294" s="7"/>
      <c r="S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4"/>
      <c r="K295" s="14"/>
      <c r="L295" s="14"/>
      <c r="M295" s="7"/>
      <c r="N295" s="7"/>
      <c r="O295" s="7"/>
      <c r="P295" s="7"/>
      <c r="Q295" s="21"/>
      <c r="R295" s="7"/>
      <c r="S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4"/>
      <c r="K296" s="14"/>
      <c r="L296" s="14"/>
      <c r="M296" s="7"/>
      <c r="N296" s="7"/>
      <c r="O296" s="7"/>
      <c r="P296" s="7"/>
      <c r="Q296" s="21"/>
      <c r="R296" s="7"/>
      <c r="S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4"/>
      <c r="K297" s="14"/>
      <c r="L297" s="14"/>
      <c r="M297" s="7"/>
      <c r="N297" s="7"/>
      <c r="O297" s="7"/>
      <c r="P297" s="7"/>
      <c r="Q297" s="21"/>
      <c r="R297" s="7"/>
      <c r="S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4"/>
      <c r="K298" s="14"/>
      <c r="L298" s="14"/>
      <c r="M298" s="7"/>
      <c r="N298" s="7"/>
      <c r="O298" s="7"/>
      <c r="P298" s="7"/>
      <c r="Q298" s="21"/>
      <c r="R298" s="7"/>
      <c r="S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4"/>
      <c r="K299" s="14"/>
      <c r="L299" s="14"/>
      <c r="M299" s="7"/>
      <c r="N299" s="7"/>
      <c r="O299" s="7"/>
      <c r="P299" s="7"/>
      <c r="Q299" s="21"/>
      <c r="R299" s="7"/>
      <c r="S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4"/>
      <c r="K300" s="14"/>
      <c r="L300" s="14"/>
      <c r="M300" s="7"/>
      <c r="N300" s="7"/>
      <c r="O300" s="7"/>
      <c r="P300" s="7"/>
      <c r="Q300" s="21"/>
      <c r="R300" s="7"/>
      <c r="S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4"/>
      <c r="K301" s="14"/>
      <c r="L301" s="14"/>
      <c r="M301" s="7"/>
      <c r="N301" s="7"/>
      <c r="O301" s="7"/>
      <c r="P301" s="7"/>
      <c r="Q301" s="21"/>
      <c r="R301" s="7"/>
      <c r="S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4"/>
      <c r="K302" s="14"/>
      <c r="L302" s="14"/>
      <c r="M302" s="7"/>
      <c r="N302" s="7"/>
      <c r="O302" s="7"/>
      <c r="P302" s="7"/>
      <c r="Q302" s="21"/>
      <c r="R302" s="7"/>
      <c r="S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4"/>
      <c r="K303" s="14"/>
      <c r="L303" s="14"/>
      <c r="M303" s="7"/>
      <c r="N303" s="7"/>
      <c r="O303" s="7"/>
      <c r="P303" s="7"/>
      <c r="Q303" s="21"/>
      <c r="R303" s="7"/>
      <c r="S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4"/>
      <c r="K304" s="14"/>
      <c r="L304" s="14"/>
      <c r="M304" s="7"/>
      <c r="N304" s="7"/>
      <c r="O304" s="7"/>
      <c r="P304" s="7"/>
      <c r="Q304" s="21"/>
      <c r="R304" s="7"/>
      <c r="S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4"/>
      <c r="K305" s="14"/>
      <c r="L305" s="14"/>
      <c r="M305" s="7"/>
      <c r="N305" s="7"/>
      <c r="O305" s="7"/>
      <c r="P305" s="7"/>
      <c r="Q305" s="21"/>
      <c r="R305" s="7"/>
      <c r="S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4"/>
      <c r="K306" s="14"/>
      <c r="L306" s="14"/>
      <c r="M306" s="7"/>
      <c r="N306" s="7"/>
      <c r="O306" s="7"/>
      <c r="P306" s="7"/>
      <c r="Q306" s="21"/>
      <c r="R306" s="7"/>
      <c r="S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4"/>
      <c r="K307" s="14"/>
      <c r="L307" s="14"/>
      <c r="M307" s="7"/>
      <c r="N307" s="7"/>
      <c r="O307" s="7"/>
      <c r="P307" s="7"/>
      <c r="Q307" s="21"/>
      <c r="R307" s="7"/>
      <c r="S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4"/>
      <c r="K308" s="14"/>
      <c r="L308" s="14"/>
      <c r="M308" s="7"/>
      <c r="N308" s="7"/>
      <c r="O308" s="7"/>
      <c r="P308" s="7"/>
      <c r="Q308" s="21"/>
      <c r="R308" s="7"/>
      <c r="S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4"/>
      <c r="K309" s="14"/>
      <c r="L309" s="14"/>
      <c r="M309" s="7"/>
      <c r="N309" s="7"/>
      <c r="O309" s="7"/>
      <c r="P309" s="7"/>
      <c r="Q309" s="21"/>
      <c r="R309" s="7"/>
      <c r="S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4"/>
      <c r="K310" s="14"/>
      <c r="L310" s="14"/>
      <c r="M310" s="7"/>
      <c r="N310" s="7"/>
      <c r="O310" s="7"/>
      <c r="P310" s="7"/>
      <c r="Q310" s="21"/>
      <c r="R310" s="7"/>
      <c r="S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4"/>
      <c r="K311" s="14"/>
      <c r="L311" s="14"/>
      <c r="M311" s="7"/>
      <c r="N311" s="7"/>
      <c r="O311" s="7"/>
      <c r="P311" s="7"/>
      <c r="Q311" s="21"/>
      <c r="R311" s="7"/>
      <c r="S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4"/>
      <c r="K312" s="14"/>
      <c r="L312" s="14"/>
      <c r="M312" s="7"/>
      <c r="N312" s="7"/>
      <c r="O312" s="7"/>
      <c r="P312" s="7"/>
      <c r="Q312" s="21"/>
      <c r="R312" s="7"/>
      <c r="S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4"/>
      <c r="K313" s="14"/>
      <c r="L313" s="14"/>
      <c r="M313" s="7"/>
      <c r="N313" s="7"/>
      <c r="O313" s="7"/>
      <c r="P313" s="7"/>
      <c r="Q313" s="21"/>
      <c r="R313" s="7"/>
      <c r="S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4"/>
      <c r="K314" s="14"/>
      <c r="L314" s="14"/>
      <c r="M314" s="7"/>
      <c r="N314" s="7"/>
      <c r="O314" s="7"/>
      <c r="P314" s="7"/>
      <c r="Q314" s="21"/>
      <c r="R314" s="7"/>
      <c r="S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4"/>
      <c r="K315" s="14"/>
      <c r="L315" s="14"/>
      <c r="M315" s="7"/>
      <c r="N315" s="7"/>
      <c r="O315" s="7"/>
      <c r="P315" s="7"/>
      <c r="Q315" s="21"/>
      <c r="R315" s="7"/>
      <c r="S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4"/>
      <c r="K316" s="14"/>
      <c r="L316" s="14"/>
      <c r="M316" s="7"/>
      <c r="N316" s="7"/>
      <c r="O316" s="7"/>
      <c r="P316" s="7"/>
      <c r="Q316" s="21"/>
      <c r="R316" s="7"/>
      <c r="S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4"/>
      <c r="K317" s="14"/>
      <c r="L317" s="14"/>
      <c r="M317" s="7"/>
      <c r="N317" s="7"/>
      <c r="O317" s="7"/>
      <c r="P317" s="7"/>
      <c r="Q317" s="21"/>
      <c r="R317" s="7"/>
      <c r="S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4"/>
      <c r="K318" s="14"/>
      <c r="L318" s="14"/>
      <c r="M318" s="7"/>
      <c r="N318" s="7"/>
      <c r="O318" s="7"/>
      <c r="P318" s="7"/>
      <c r="Q318" s="21"/>
      <c r="R318" s="7"/>
      <c r="S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4"/>
      <c r="K319" s="14"/>
      <c r="L319" s="14"/>
      <c r="M319" s="7"/>
      <c r="N319" s="7"/>
      <c r="O319" s="7"/>
      <c r="P319" s="7"/>
      <c r="Q319" s="21"/>
      <c r="R319" s="7"/>
      <c r="S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4"/>
      <c r="K320" s="14"/>
      <c r="L320" s="14"/>
      <c r="M320" s="7"/>
      <c r="N320" s="7"/>
      <c r="O320" s="7"/>
      <c r="P320" s="7"/>
      <c r="Q320" s="21"/>
      <c r="R320" s="7"/>
      <c r="S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4"/>
      <c r="K321" s="14"/>
      <c r="L321" s="14"/>
      <c r="M321" s="7"/>
      <c r="N321" s="7"/>
      <c r="O321" s="7"/>
      <c r="P321" s="7"/>
      <c r="Q321" s="21"/>
      <c r="R321" s="7"/>
      <c r="S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4"/>
      <c r="K322" s="14"/>
      <c r="L322" s="14"/>
      <c r="M322" s="7"/>
      <c r="N322" s="7"/>
      <c r="O322" s="7"/>
      <c r="P322" s="7"/>
      <c r="Q322" s="21"/>
      <c r="R322" s="7"/>
      <c r="S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4"/>
      <c r="K323" s="14"/>
      <c r="L323" s="14"/>
      <c r="M323" s="7"/>
      <c r="N323" s="7"/>
      <c r="O323" s="7"/>
      <c r="P323" s="7"/>
      <c r="Q323" s="21"/>
      <c r="R323" s="7"/>
      <c r="S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4"/>
      <c r="K324" s="14"/>
      <c r="L324" s="14"/>
      <c r="M324" s="7"/>
      <c r="N324" s="7"/>
      <c r="O324" s="7"/>
      <c r="P324" s="7"/>
      <c r="Q324" s="21"/>
      <c r="R324" s="7"/>
      <c r="S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4"/>
      <c r="K325" s="14"/>
      <c r="L325" s="14"/>
      <c r="M325" s="7"/>
      <c r="N325" s="7"/>
      <c r="O325" s="7"/>
      <c r="P325" s="7"/>
      <c r="Q325" s="21"/>
      <c r="R325" s="7"/>
      <c r="S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4"/>
      <c r="K326" s="14"/>
      <c r="L326" s="14"/>
      <c r="M326" s="7"/>
      <c r="N326" s="7"/>
      <c r="O326" s="7"/>
      <c r="P326" s="7"/>
      <c r="Q326" s="21"/>
      <c r="R326" s="7"/>
      <c r="S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4"/>
      <c r="K327" s="14"/>
      <c r="L327" s="14"/>
      <c r="M327" s="7"/>
      <c r="N327" s="7"/>
      <c r="O327" s="7"/>
      <c r="P327" s="7"/>
      <c r="Q327" s="21"/>
      <c r="R327" s="7"/>
      <c r="S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4"/>
      <c r="K328" s="14"/>
      <c r="L328" s="14"/>
      <c r="M328" s="7"/>
      <c r="N328" s="7"/>
      <c r="O328" s="7"/>
      <c r="P328" s="7"/>
      <c r="Q328" s="21"/>
      <c r="R328" s="7"/>
      <c r="S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4"/>
      <c r="K329" s="14"/>
      <c r="L329" s="14"/>
      <c r="M329" s="7"/>
      <c r="N329" s="7"/>
      <c r="O329" s="7"/>
      <c r="P329" s="7"/>
      <c r="Q329" s="21"/>
      <c r="R329" s="7"/>
      <c r="S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4"/>
      <c r="K330" s="14"/>
      <c r="L330" s="14"/>
      <c r="M330" s="7"/>
      <c r="N330" s="7"/>
      <c r="O330" s="7"/>
      <c r="P330" s="7"/>
      <c r="Q330" s="21"/>
      <c r="R330" s="7"/>
      <c r="S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4"/>
      <c r="K331" s="14"/>
      <c r="L331" s="14"/>
      <c r="M331" s="7"/>
      <c r="N331" s="7"/>
      <c r="O331" s="7"/>
      <c r="P331" s="7"/>
      <c r="Q331" s="21"/>
      <c r="R331" s="7"/>
      <c r="S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4"/>
      <c r="K332" s="14"/>
      <c r="L332" s="14"/>
      <c r="M332" s="7"/>
      <c r="N332" s="7"/>
      <c r="O332" s="7"/>
      <c r="P332" s="7"/>
      <c r="Q332" s="21"/>
      <c r="R332" s="7"/>
      <c r="S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4"/>
      <c r="K333" s="14"/>
      <c r="L333" s="14"/>
      <c r="M333" s="7"/>
      <c r="N333" s="7"/>
      <c r="O333" s="7"/>
      <c r="P333" s="7"/>
      <c r="Q333" s="21"/>
      <c r="R333" s="7"/>
      <c r="S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4"/>
      <c r="K334" s="14"/>
      <c r="L334" s="14"/>
      <c r="M334" s="7"/>
      <c r="N334" s="7"/>
      <c r="O334" s="7"/>
      <c r="P334" s="7"/>
      <c r="Q334" s="21"/>
      <c r="R334" s="7"/>
      <c r="S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4"/>
      <c r="K335" s="14"/>
      <c r="L335" s="14"/>
      <c r="M335" s="7"/>
      <c r="N335" s="7"/>
      <c r="O335" s="7"/>
      <c r="P335" s="7"/>
      <c r="Q335" s="21"/>
      <c r="R335" s="7"/>
      <c r="S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4"/>
      <c r="K336" s="14"/>
      <c r="L336" s="14"/>
      <c r="M336" s="7"/>
      <c r="N336" s="7"/>
      <c r="O336" s="7"/>
      <c r="P336" s="7"/>
      <c r="Q336" s="21"/>
      <c r="R336" s="7"/>
      <c r="S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4"/>
      <c r="K337" s="14"/>
      <c r="L337" s="14"/>
      <c r="M337" s="7"/>
      <c r="N337" s="7"/>
      <c r="O337" s="7"/>
      <c r="P337" s="7"/>
      <c r="Q337" s="21"/>
      <c r="R337" s="7"/>
      <c r="S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4"/>
      <c r="K338" s="14"/>
      <c r="L338" s="14"/>
      <c r="M338" s="7"/>
      <c r="N338" s="7"/>
      <c r="O338" s="7"/>
      <c r="P338" s="7"/>
      <c r="Q338" s="21"/>
      <c r="R338" s="7"/>
      <c r="S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4"/>
      <c r="K339" s="14"/>
      <c r="L339" s="14"/>
      <c r="M339" s="7"/>
      <c r="N339" s="7"/>
      <c r="O339" s="7"/>
      <c r="P339" s="7"/>
      <c r="Q339" s="21"/>
      <c r="R339" s="7"/>
      <c r="S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4"/>
      <c r="K340" s="14"/>
      <c r="L340" s="14"/>
      <c r="M340" s="7"/>
      <c r="N340" s="7"/>
      <c r="O340" s="7"/>
      <c r="P340" s="7"/>
      <c r="Q340" s="21"/>
      <c r="R340" s="7"/>
      <c r="S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4"/>
      <c r="K341" s="14"/>
      <c r="L341" s="14"/>
      <c r="M341" s="7"/>
      <c r="N341" s="7"/>
      <c r="O341" s="7"/>
      <c r="P341" s="7"/>
      <c r="Q341" s="21"/>
      <c r="R341" s="7"/>
      <c r="S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4"/>
      <c r="K342" s="14"/>
      <c r="L342" s="14"/>
      <c r="M342" s="7"/>
      <c r="N342" s="7"/>
      <c r="O342" s="7"/>
      <c r="P342" s="7"/>
      <c r="Q342" s="21"/>
      <c r="R342" s="7"/>
      <c r="S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4"/>
      <c r="K343" s="14"/>
      <c r="L343" s="14"/>
      <c r="M343" s="7"/>
      <c r="N343" s="7"/>
      <c r="O343" s="7"/>
      <c r="P343" s="7"/>
      <c r="Q343" s="21"/>
      <c r="R343" s="7"/>
      <c r="S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4"/>
      <c r="K344" s="14"/>
      <c r="L344" s="14"/>
      <c r="M344" s="7"/>
      <c r="N344" s="7"/>
      <c r="O344" s="7"/>
      <c r="P344" s="7"/>
      <c r="Q344" s="21"/>
      <c r="R344" s="7"/>
      <c r="S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4"/>
      <c r="K345" s="14"/>
      <c r="L345" s="14"/>
      <c r="M345" s="7"/>
      <c r="N345" s="7"/>
      <c r="O345" s="7"/>
      <c r="P345" s="7"/>
      <c r="Q345" s="21"/>
      <c r="R345" s="7"/>
      <c r="S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4"/>
      <c r="K346" s="14"/>
      <c r="L346" s="14"/>
      <c r="M346" s="7"/>
      <c r="N346" s="7"/>
      <c r="O346" s="7"/>
      <c r="P346" s="7"/>
      <c r="Q346" s="21"/>
      <c r="R346" s="7"/>
      <c r="S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4"/>
      <c r="K347" s="14"/>
      <c r="L347" s="14"/>
      <c r="M347" s="7"/>
      <c r="N347" s="7"/>
      <c r="O347" s="7"/>
      <c r="P347" s="7"/>
      <c r="Q347" s="21"/>
      <c r="R347" s="7"/>
      <c r="S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4"/>
      <c r="K348" s="14"/>
      <c r="L348" s="14"/>
      <c r="M348" s="7"/>
      <c r="N348" s="7"/>
      <c r="O348" s="7"/>
      <c r="P348" s="7"/>
      <c r="Q348" s="21"/>
      <c r="R348" s="7"/>
      <c r="S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4"/>
      <c r="K349" s="14"/>
      <c r="L349" s="14"/>
      <c r="M349" s="7"/>
      <c r="N349" s="7"/>
      <c r="O349" s="7"/>
      <c r="P349" s="7"/>
      <c r="Q349" s="21"/>
      <c r="R349" s="7"/>
      <c r="S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4"/>
      <c r="K350" s="14"/>
      <c r="L350" s="14"/>
      <c r="M350" s="7"/>
      <c r="N350" s="7"/>
      <c r="O350" s="7"/>
      <c r="P350" s="7"/>
      <c r="Q350" s="21"/>
      <c r="R350" s="7"/>
      <c r="S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4"/>
      <c r="K351" s="14"/>
      <c r="L351" s="14"/>
      <c r="M351" s="7"/>
      <c r="N351" s="7"/>
      <c r="O351" s="7"/>
      <c r="P351" s="7"/>
      <c r="Q351" s="21"/>
      <c r="R351" s="7"/>
      <c r="S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4"/>
      <c r="K352" s="14"/>
      <c r="L352" s="14"/>
      <c r="M352" s="7"/>
      <c r="N352" s="7"/>
      <c r="O352" s="7"/>
      <c r="P352" s="7"/>
      <c r="Q352" s="21"/>
      <c r="R352" s="7"/>
      <c r="S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4"/>
      <c r="K353" s="14"/>
      <c r="L353" s="14"/>
      <c r="M353" s="7"/>
      <c r="N353" s="7"/>
      <c r="O353" s="7"/>
      <c r="P353" s="7"/>
      <c r="Q353" s="21"/>
      <c r="R353" s="7"/>
      <c r="S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4"/>
      <c r="K354" s="14"/>
      <c r="L354" s="14"/>
      <c r="M354" s="7"/>
      <c r="N354" s="7"/>
      <c r="O354" s="7"/>
      <c r="P354" s="7"/>
      <c r="Q354" s="21"/>
      <c r="R354" s="7"/>
      <c r="S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4"/>
      <c r="K355" s="14"/>
      <c r="L355" s="14"/>
      <c r="M355" s="7"/>
      <c r="N355" s="7"/>
      <c r="O355" s="7"/>
      <c r="P355" s="7"/>
      <c r="Q355" s="21"/>
      <c r="R355" s="7"/>
      <c r="S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4"/>
      <c r="K356" s="14"/>
      <c r="L356" s="14"/>
      <c r="M356" s="7"/>
      <c r="N356" s="7"/>
      <c r="O356" s="7"/>
      <c r="P356" s="7"/>
      <c r="Q356" s="21"/>
      <c r="R356" s="7"/>
      <c r="S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4"/>
      <c r="K357" s="14"/>
      <c r="L357" s="14"/>
      <c r="M357" s="7"/>
      <c r="N357" s="7"/>
      <c r="O357" s="7"/>
      <c r="P357" s="7"/>
      <c r="Q357" s="21"/>
      <c r="R357" s="7"/>
      <c r="S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4"/>
      <c r="K358" s="14"/>
      <c r="L358" s="14"/>
      <c r="M358" s="7"/>
      <c r="N358" s="7"/>
      <c r="O358" s="7"/>
      <c r="P358" s="7"/>
      <c r="Q358" s="21"/>
      <c r="R358" s="7"/>
      <c r="S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4"/>
      <c r="K359" s="14"/>
      <c r="L359" s="14"/>
      <c r="M359" s="7"/>
      <c r="N359" s="7"/>
      <c r="O359" s="7"/>
      <c r="P359" s="7"/>
      <c r="Q359" s="21"/>
      <c r="R359" s="7"/>
      <c r="S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4"/>
      <c r="K360" s="14"/>
      <c r="L360" s="14"/>
      <c r="M360" s="7"/>
      <c r="N360" s="7"/>
      <c r="O360" s="7"/>
      <c r="P360" s="7"/>
      <c r="Q360" s="21"/>
      <c r="R360" s="7"/>
      <c r="S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4"/>
      <c r="K361" s="14"/>
      <c r="L361" s="14"/>
      <c r="M361" s="7"/>
      <c r="N361" s="7"/>
      <c r="O361" s="7"/>
      <c r="P361" s="7"/>
      <c r="Q361" s="21"/>
      <c r="R361" s="7"/>
      <c r="S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4"/>
      <c r="K362" s="14"/>
      <c r="L362" s="14"/>
      <c r="M362" s="7"/>
      <c r="N362" s="7"/>
      <c r="O362" s="7"/>
      <c r="P362" s="7"/>
      <c r="Q362" s="21"/>
      <c r="R362" s="7"/>
      <c r="S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4"/>
      <c r="K363" s="14"/>
      <c r="L363" s="14"/>
      <c r="M363" s="7"/>
      <c r="N363" s="7"/>
      <c r="O363" s="7"/>
      <c r="P363" s="7"/>
      <c r="Q363" s="21"/>
      <c r="R363" s="7"/>
      <c r="S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4"/>
      <c r="K364" s="14"/>
      <c r="L364" s="14"/>
      <c r="M364" s="7"/>
      <c r="N364" s="7"/>
      <c r="O364" s="7"/>
      <c r="P364" s="7"/>
      <c r="Q364" s="21"/>
      <c r="R364" s="7"/>
      <c r="S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4"/>
      <c r="K365" s="14"/>
      <c r="L365" s="14"/>
      <c r="M365" s="7"/>
      <c r="N365" s="7"/>
      <c r="O365" s="7"/>
      <c r="P365" s="7"/>
      <c r="Q365" s="21"/>
      <c r="R365" s="7"/>
      <c r="S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4"/>
      <c r="K366" s="14"/>
      <c r="L366" s="14"/>
      <c r="M366" s="7"/>
      <c r="N366" s="7"/>
      <c r="O366" s="7"/>
      <c r="P366" s="7"/>
      <c r="Q366" s="21"/>
      <c r="R366" s="7"/>
      <c r="S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4"/>
      <c r="K367" s="14"/>
      <c r="L367" s="14"/>
      <c r="M367" s="7"/>
      <c r="N367" s="7"/>
      <c r="O367" s="7"/>
      <c r="P367" s="7"/>
      <c r="Q367" s="21"/>
      <c r="R367" s="7"/>
      <c r="S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4"/>
      <c r="K368" s="14"/>
      <c r="L368" s="14"/>
      <c r="M368" s="7"/>
      <c r="N368" s="7"/>
      <c r="O368" s="7"/>
      <c r="P368" s="7"/>
      <c r="Q368" s="21"/>
      <c r="R368" s="7"/>
      <c r="S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4"/>
      <c r="K369" s="14"/>
      <c r="L369" s="14"/>
      <c r="M369" s="7"/>
      <c r="N369" s="7"/>
      <c r="O369" s="7"/>
      <c r="P369" s="7"/>
      <c r="Q369" s="21"/>
      <c r="R369" s="7"/>
      <c r="S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4"/>
      <c r="K370" s="14"/>
      <c r="L370" s="14"/>
      <c r="M370" s="7"/>
      <c r="N370" s="7"/>
      <c r="O370" s="7"/>
      <c r="P370" s="7"/>
      <c r="Q370" s="21"/>
      <c r="R370" s="7"/>
      <c r="S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4"/>
      <c r="K371" s="14"/>
      <c r="L371" s="14"/>
      <c r="M371" s="7"/>
      <c r="N371" s="7"/>
      <c r="O371" s="7"/>
      <c r="P371" s="7"/>
      <c r="Q371" s="21"/>
      <c r="R371" s="7"/>
      <c r="S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4"/>
      <c r="K372" s="14"/>
      <c r="L372" s="14"/>
      <c r="M372" s="7"/>
      <c r="N372" s="7"/>
      <c r="O372" s="7"/>
      <c r="P372" s="7"/>
      <c r="Q372" s="21"/>
      <c r="R372" s="7"/>
      <c r="S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4"/>
      <c r="K373" s="14"/>
      <c r="L373" s="14"/>
      <c r="M373" s="7"/>
      <c r="N373" s="7"/>
      <c r="O373" s="7"/>
      <c r="P373" s="7"/>
      <c r="Q373" s="21"/>
      <c r="R373" s="7"/>
      <c r="S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4"/>
      <c r="K374" s="14"/>
      <c r="L374" s="14"/>
      <c r="M374" s="7"/>
      <c r="N374" s="7"/>
      <c r="O374" s="7"/>
      <c r="P374" s="7"/>
      <c r="Q374" s="21"/>
      <c r="R374" s="7"/>
      <c r="S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4"/>
      <c r="K375" s="14"/>
      <c r="L375" s="14"/>
      <c r="M375" s="7"/>
      <c r="N375" s="7"/>
      <c r="O375" s="7"/>
      <c r="P375" s="7"/>
      <c r="Q375" s="21"/>
      <c r="R375" s="7"/>
      <c r="S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4"/>
      <c r="K376" s="14"/>
      <c r="L376" s="14"/>
      <c r="M376" s="7"/>
      <c r="N376" s="7"/>
      <c r="O376" s="7"/>
      <c r="P376" s="7"/>
      <c r="Q376" s="21"/>
      <c r="R376" s="7"/>
      <c r="S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4"/>
      <c r="K377" s="14"/>
      <c r="L377" s="14"/>
      <c r="M377" s="7"/>
      <c r="N377" s="7"/>
      <c r="O377" s="7"/>
      <c r="P377" s="7"/>
      <c r="Q377" s="21"/>
      <c r="R377" s="7"/>
      <c r="S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4"/>
      <c r="K378" s="14"/>
      <c r="L378" s="14"/>
      <c r="M378" s="7"/>
      <c r="N378" s="7"/>
      <c r="O378" s="7"/>
      <c r="P378" s="7"/>
      <c r="Q378" s="21"/>
      <c r="R378" s="7"/>
      <c r="S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4"/>
      <c r="K379" s="14"/>
      <c r="L379" s="14"/>
      <c r="M379" s="7"/>
      <c r="N379" s="7"/>
      <c r="O379" s="7"/>
      <c r="P379" s="7"/>
      <c r="Q379" s="21"/>
      <c r="R379" s="7"/>
      <c r="S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4"/>
      <c r="K380" s="14"/>
      <c r="L380" s="14"/>
      <c r="M380" s="7"/>
      <c r="N380" s="7"/>
      <c r="O380" s="7"/>
      <c r="P380" s="7"/>
      <c r="Q380" s="21"/>
      <c r="R380" s="7"/>
      <c r="S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4"/>
      <c r="K381" s="14"/>
      <c r="L381" s="14"/>
      <c r="M381" s="7"/>
      <c r="N381" s="7"/>
      <c r="O381" s="7"/>
      <c r="P381" s="7"/>
      <c r="Q381" s="21"/>
      <c r="R381" s="7"/>
      <c r="S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4"/>
      <c r="K382" s="14"/>
      <c r="L382" s="14"/>
      <c r="M382" s="7"/>
      <c r="N382" s="7"/>
      <c r="O382" s="7"/>
      <c r="P382" s="7"/>
      <c r="Q382" s="21"/>
      <c r="R382" s="7"/>
      <c r="S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4"/>
      <c r="K383" s="14"/>
      <c r="L383" s="14"/>
      <c r="M383" s="7"/>
      <c r="N383" s="7"/>
      <c r="O383" s="7"/>
      <c r="P383" s="7"/>
      <c r="Q383" s="21"/>
      <c r="R383" s="7"/>
      <c r="S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4"/>
      <c r="K384" s="14"/>
      <c r="L384" s="14"/>
      <c r="M384" s="7"/>
      <c r="N384" s="7"/>
      <c r="O384" s="7"/>
      <c r="P384" s="7"/>
      <c r="Q384" s="21"/>
      <c r="R384" s="7"/>
      <c r="S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4"/>
      <c r="K385" s="14"/>
      <c r="L385" s="14"/>
      <c r="M385" s="7"/>
      <c r="N385" s="7"/>
      <c r="O385" s="7"/>
      <c r="P385" s="7"/>
      <c r="Q385" s="21"/>
      <c r="R385" s="7"/>
      <c r="S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4"/>
      <c r="K386" s="14"/>
      <c r="L386" s="14"/>
      <c r="M386" s="7"/>
      <c r="N386" s="7"/>
      <c r="O386" s="7"/>
      <c r="P386" s="7"/>
      <c r="Q386" s="21"/>
      <c r="R386" s="7"/>
      <c r="S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4"/>
      <c r="K387" s="14"/>
      <c r="L387" s="14"/>
      <c r="M387" s="7"/>
      <c r="N387" s="7"/>
      <c r="O387" s="7"/>
      <c r="P387" s="7"/>
      <c r="Q387" s="21"/>
      <c r="R387" s="7"/>
      <c r="S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4"/>
      <c r="K388" s="14"/>
      <c r="L388" s="14"/>
      <c r="M388" s="7"/>
      <c r="N388" s="7"/>
      <c r="O388" s="7"/>
      <c r="P388" s="7"/>
      <c r="Q388" s="21"/>
      <c r="R388" s="7"/>
      <c r="S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4"/>
      <c r="K389" s="14"/>
      <c r="L389" s="14"/>
      <c r="M389" s="7"/>
      <c r="N389" s="7"/>
      <c r="O389" s="7"/>
      <c r="P389" s="7"/>
      <c r="Q389" s="21"/>
      <c r="R389" s="7"/>
      <c r="S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4"/>
      <c r="K390" s="14"/>
      <c r="L390" s="14"/>
      <c r="M390" s="7"/>
      <c r="N390" s="7"/>
      <c r="O390" s="7"/>
      <c r="P390" s="7"/>
      <c r="Q390" s="21"/>
      <c r="R390" s="7"/>
      <c r="S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4"/>
      <c r="K391" s="14"/>
      <c r="L391" s="14"/>
      <c r="M391" s="7"/>
      <c r="N391" s="7"/>
      <c r="O391" s="7"/>
      <c r="P391" s="7"/>
      <c r="Q391" s="21"/>
      <c r="R391" s="7"/>
      <c r="S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4"/>
      <c r="K392" s="14"/>
      <c r="L392" s="14"/>
      <c r="M392" s="7"/>
      <c r="N392" s="7"/>
      <c r="O392" s="7"/>
      <c r="P392" s="7"/>
      <c r="Q392" s="21"/>
      <c r="R392" s="7"/>
      <c r="S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4"/>
      <c r="K393" s="14"/>
      <c r="L393" s="14"/>
      <c r="M393" s="7"/>
      <c r="N393" s="7"/>
      <c r="O393" s="7"/>
      <c r="P393" s="7"/>
      <c r="Q393" s="21"/>
      <c r="R393" s="7"/>
      <c r="S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4"/>
      <c r="K394" s="14"/>
      <c r="L394" s="14"/>
      <c r="M394" s="7"/>
      <c r="N394" s="7"/>
      <c r="O394" s="7"/>
      <c r="P394" s="7"/>
      <c r="Q394" s="21"/>
      <c r="R394" s="7"/>
      <c r="S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4"/>
      <c r="K395" s="14"/>
      <c r="L395" s="14"/>
      <c r="M395" s="7"/>
      <c r="N395" s="7"/>
      <c r="O395" s="7"/>
      <c r="P395" s="7"/>
      <c r="Q395" s="21"/>
      <c r="R395" s="7"/>
      <c r="S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4"/>
      <c r="K396" s="14"/>
      <c r="L396" s="14"/>
      <c r="M396" s="7"/>
      <c r="N396" s="7"/>
      <c r="O396" s="7"/>
      <c r="P396" s="7"/>
      <c r="Q396" s="21"/>
      <c r="R396" s="7"/>
      <c r="S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4"/>
      <c r="K397" s="14"/>
      <c r="L397" s="14"/>
      <c r="M397" s="7"/>
      <c r="N397" s="7"/>
      <c r="O397" s="7"/>
      <c r="P397" s="7"/>
      <c r="Q397" s="21"/>
      <c r="R397" s="7"/>
      <c r="S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4"/>
      <c r="K398" s="14"/>
      <c r="L398" s="14"/>
      <c r="M398" s="7"/>
      <c r="N398" s="7"/>
      <c r="O398" s="7"/>
      <c r="P398" s="7"/>
      <c r="Q398" s="21"/>
      <c r="R398" s="7"/>
      <c r="S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4"/>
      <c r="K399" s="14"/>
      <c r="L399" s="14"/>
      <c r="M399" s="7"/>
      <c r="N399" s="7"/>
      <c r="O399" s="7"/>
      <c r="P399" s="7"/>
      <c r="Q399" s="21"/>
      <c r="R399" s="7"/>
      <c r="S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4"/>
      <c r="K400" s="14"/>
      <c r="L400" s="14"/>
      <c r="M400" s="7"/>
      <c r="N400" s="7"/>
      <c r="O400" s="7"/>
      <c r="P400" s="7"/>
      <c r="Q400" s="21"/>
      <c r="R400" s="7"/>
      <c r="S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4"/>
      <c r="K401" s="14"/>
      <c r="L401" s="14"/>
      <c r="M401" s="7"/>
      <c r="N401" s="7"/>
      <c r="O401" s="7"/>
      <c r="P401" s="7"/>
      <c r="Q401" s="21"/>
      <c r="R401" s="7"/>
      <c r="S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4"/>
      <c r="K402" s="14"/>
      <c r="L402" s="14"/>
      <c r="M402" s="7"/>
      <c r="N402" s="7"/>
      <c r="O402" s="7"/>
      <c r="P402" s="7"/>
      <c r="Q402" s="21"/>
      <c r="R402" s="7"/>
      <c r="S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4"/>
      <c r="K403" s="14"/>
      <c r="L403" s="14"/>
      <c r="M403" s="7"/>
      <c r="N403" s="7"/>
      <c r="O403" s="7"/>
      <c r="P403" s="7"/>
      <c r="Q403" s="21"/>
      <c r="R403" s="7"/>
      <c r="S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4"/>
      <c r="K404" s="14"/>
      <c r="L404" s="14"/>
      <c r="M404" s="7"/>
      <c r="N404" s="7"/>
      <c r="O404" s="7"/>
      <c r="P404" s="7"/>
      <c r="Q404" s="21"/>
      <c r="R404" s="7"/>
      <c r="S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4"/>
      <c r="K405" s="14"/>
      <c r="L405" s="14"/>
      <c r="M405" s="7"/>
      <c r="N405" s="7"/>
      <c r="O405" s="7"/>
      <c r="P405" s="7"/>
      <c r="Q405" s="21"/>
      <c r="R405" s="7"/>
      <c r="S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4"/>
      <c r="K406" s="14"/>
      <c r="L406" s="14"/>
      <c r="M406" s="7"/>
      <c r="N406" s="7"/>
      <c r="O406" s="7"/>
      <c r="P406" s="7"/>
      <c r="Q406" s="21"/>
      <c r="R406" s="7"/>
      <c r="S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4"/>
      <c r="K407" s="14"/>
      <c r="L407" s="14"/>
      <c r="M407" s="7"/>
      <c r="N407" s="7"/>
      <c r="O407" s="7"/>
      <c r="P407" s="7"/>
      <c r="Q407" s="21"/>
      <c r="R407" s="7"/>
      <c r="S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4"/>
      <c r="K408" s="14"/>
      <c r="L408" s="14"/>
      <c r="M408" s="7"/>
      <c r="N408" s="7"/>
      <c r="O408" s="7"/>
      <c r="P408" s="7"/>
      <c r="Q408" s="21"/>
      <c r="R408" s="7"/>
      <c r="S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4"/>
      <c r="K409" s="14"/>
      <c r="L409" s="14"/>
      <c r="M409" s="7"/>
      <c r="N409" s="7"/>
      <c r="O409" s="7"/>
      <c r="P409" s="7"/>
      <c r="Q409" s="21"/>
      <c r="R409" s="7"/>
      <c r="S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4"/>
      <c r="K410" s="14"/>
      <c r="L410" s="14"/>
      <c r="M410" s="7"/>
      <c r="N410" s="7"/>
      <c r="O410" s="7"/>
      <c r="P410" s="7"/>
      <c r="Q410" s="21"/>
      <c r="R410" s="7"/>
      <c r="S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4"/>
      <c r="K411" s="14"/>
      <c r="L411" s="14"/>
      <c r="M411" s="7"/>
      <c r="N411" s="7"/>
      <c r="O411" s="7"/>
      <c r="P411" s="7"/>
      <c r="Q411" s="21"/>
      <c r="R411" s="7"/>
      <c r="S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4"/>
      <c r="K412" s="14"/>
      <c r="L412" s="14"/>
      <c r="M412" s="7"/>
      <c r="N412" s="7"/>
      <c r="O412" s="7"/>
      <c r="P412" s="7"/>
      <c r="Q412" s="21"/>
      <c r="R412" s="7"/>
      <c r="S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4"/>
      <c r="K413" s="14"/>
      <c r="L413" s="14"/>
      <c r="M413" s="7"/>
      <c r="N413" s="7"/>
      <c r="O413" s="7"/>
      <c r="P413" s="7"/>
      <c r="Q413" s="21"/>
      <c r="R413" s="7"/>
      <c r="S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4"/>
      <c r="K414" s="14"/>
      <c r="L414" s="14"/>
      <c r="M414" s="7"/>
      <c r="N414" s="7"/>
      <c r="O414" s="7"/>
      <c r="P414" s="7"/>
      <c r="Q414" s="21"/>
      <c r="R414" s="7"/>
      <c r="S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4"/>
      <c r="K415" s="14"/>
      <c r="L415" s="14"/>
      <c r="M415" s="7"/>
      <c r="N415" s="7"/>
      <c r="O415" s="7"/>
      <c r="P415" s="7"/>
      <c r="Q415" s="21"/>
      <c r="R415" s="7"/>
      <c r="S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4"/>
      <c r="K416" s="14"/>
      <c r="L416" s="14"/>
      <c r="M416" s="7"/>
      <c r="N416" s="7"/>
      <c r="O416" s="7"/>
      <c r="P416" s="7"/>
      <c r="Q416" s="21"/>
      <c r="R416" s="7"/>
      <c r="S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4"/>
      <c r="K417" s="14"/>
      <c r="L417" s="14"/>
      <c r="M417" s="7"/>
      <c r="N417" s="7"/>
      <c r="O417" s="7"/>
      <c r="P417" s="7"/>
      <c r="Q417" s="21"/>
      <c r="R417" s="7"/>
      <c r="S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4"/>
      <c r="K418" s="14"/>
      <c r="L418" s="14"/>
      <c r="M418" s="7"/>
      <c r="N418" s="7"/>
      <c r="O418" s="7"/>
      <c r="P418" s="7"/>
      <c r="Q418" s="21"/>
      <c r="R418" s="7"/>
      <c r="S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4"/>
      <c r="K419" s="14"/>
      <c r="L419" s="14"/>
      <c r="M419" s="7"/>
      <c r="N419" s="7"/>
      <c r="O419" s="7"/>
      <c r="P419" s="7"/>
      <c r="Q419" s="21"/>
      <c r="R419" s="7"/>
      <c r="S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4"/>
      <c r="K420" s="14"/>
      <c r="L420" s="14"/>
      <c r="M420" s="7"/>
      <c r="N420" s="7"/>
      <c r="O420" s="7"/>
      <c r="P420" s="7"/>
      <c r="Q420" s="21"/>
      <c r="R420" s="7"/>
      <c r="S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4"/>
      <c r="K421" s="14"/>
      <c r="L421" s="14"/>
      <c r="M421" s="7"/>
      <c r="N421" s="7"/>
      <c r="O421" s="7"/>
      <c r="P421" s="7"/>
      <c r="Q421" s="21"/>
      <c r="R421" s="7"/>
      <c r="S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4"/>
      <c r="K422" s="14"/>
      <c r="L422" s="14"/>
      <c r="M422" s="7"/>
      <c r="N422" s="7"/>
      <c r="O422" s="7"/>
      <c r="P422" s="7"/>
      <c r="Q422" s="21"/>
      <c r="R422" s="7"/>
      <c r="S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4"/>
      <c r="K423" s="14"/>
      <c r="L423" s="14"/>
      <c r="M423" s="7"/>
      <c r="N423" s="7"/>
      <c r="O423" s="7"/>
      <c r="P423" s="7"/>
      <c r="Q423" s="21"/>
      <c r="R423" s="7"/>
      <c r="S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4"/>
      <c r="K424" s="14"/>
      <c r="L424" s="14"/>
      <c r="M424" s="7"/>
      <c r="N424" s="7"/>
      <c r="O424" s="7"/>
      <c r="P424" s="7"/>
      <c r="Q424" s="21"/>
      <c r="R424" s="7"/>
      <c r="S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4"/>
      <c r="K425" s="14"/>
      <c r="L425" s="14"/>
      <c r="M425" s="7"/>
      <c r="N425" s="7"/>
      <c r="O425" s="7"/>
      <c r="P425" s="7"/>
      <c r="Q425" s="21"/>
      <c r="R425" s="7"/>
      <c r="S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4"/>
      <c r="K426" s="14"/>
      <c r="L426" s="14"/>
      <c r="M426" s="7"/>
      <c r="N426" s="7"/>
      <c r="O426" s="7"/>
      <c r="P426" s="7"/>
      <c r="Q426" s="21"/>
      <c r="R426" s="7"/>
      <c r="S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4"/>
      <c r="K427" s="14"/>
      <c r="L427" s="14"/>
      <c r="M427" s="7"/>
      <c r="N427" s="7"/>
      <c r="O427" s="7"/>
      <c r="P427" s="7"/>
      <c r="Q427" s="21"/>
      <c r="R427" s="7"/>
      <c r="S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4"/>
      <c r="K428" s="14"/>
      <c r="L428" s="14"/>
      <c r="M428" s="7"/>
      <c r="N428" s="7"/>
      <c r="O428" s="7"/>
      <c r="P428" s="7"/>
      <c r="Q428" s="21"/>
      <c r="R428" s="7"/>
      <c r="S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4"/>
      <c r="K429" s="14"/>
      <c r="L429" s="14"/>
      <c r="M429" s="7"/>
      <c r="N429" s="7"/>
      <c r="O429" s="7"/>
      <c r="P429" s="7"/>
      <c r="Q429" s="21"/>
      <c r="R429" s="7"/>
      <c r="S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4"/>
      <c r="K430" s="14"/>
      <c r="L430" s="14"/>
      <c r="M430" s="7"/>
      <c r="N430" s="7"/>
      <c r="O430" s="7"/>
      <c r="P430" s="7"/>
      <c r="Q430" s="21"/>
      <c r="R430" s="7"/>
      <c r="S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4"/>
      <c r="K431" s="14"/>
      <c r="L431" s="14"/>
      <c r="M431" s="7"/>
      <c r="N431" s="7"/>
      <c r="O431" s="7"/>
      <c r="P431" s="7"/>
      <c r="Q431" s="21"/>
      <c r="R431" s="7"/>
      <c r="S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4"/>
      <c r="K432" s="14"/>
      <c r="L432" s="14"/>
      <c r="M432" s="7"/>
      <c r="N432" s="7"/>
      <c r="O432" s="7"/>
      <c r="P432" s="7"/>
      <c r="Q432" s="21"/>
      <c r="R432" s="7"/>
      <c r="S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4"/>
      <c r="K433" s="14"/>
      <c r="L433" s="14"/>
      <c r="M433" s="7"/>
      <c r="N433" s="7"/>
      <c r="O433" s="7"/>
      <c r="P433" s="7"/>
      <c r="Q433" s="21"/>
      <c r="R433" s="7"/>
      <c r="S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4"/>
      <c r="K434" s="14"/>
      <c r="L434" s="14"/>
      <c r="M434" s="7"/>
      <c r="N434" s="7"/>
      <c r="O434" s="7"/>
      <c r="P434" s="7"/>
      <c r="Q434" s="21"/>
      <c r="R434" s="7"/>
      <c r="S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4"/>
      <c r="K435" s="14"/>
      <c r="L435" s="14"/>
      <c r="M435" s="7"/>
      <c r="N435" s="7"/>
      <c r="O435" s="7"/>
      <c r="P435" s="7"/>
      <c r="Q435" s="21"/>
      <c r="R435" s="7"/>
      <c r="S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4"/>
      <c r="K436" s="14"/>
      <c r="L436" s="14"/>
      <c r="M436" s="7"/>
      <c r="N436" s="7"/>
      <c r="O436" s="7"/>
      <c r="P436" s="7"/>
      <c r="Q436" s="21"/>
      <c r="R436" s="7"/>
      <c r="S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4"/>
      <c r="K437" s="14"/>
      <c r="L437" s="14"/>
      <c r="M437" s="7"/>
      <c r="N437" s="7"/>
      <c r="O437" s="7"/>
      <c r="P437" s="7"/>
      <c r="Q437" s="21"/>
      <c r="R437" s="7"/>
      <c r="S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4"/>
      <c r="K438" s="14"/>
      <c r="L438" s="14"/>
      <c r="M438" s="7"/>
      <c r="N438" s="7"/>
      <c r="O438" s="7"/>
      <c r="P438" s="7"/>
      <c r="Q438" s="21"/>
      <c r="R438" s="7"/>
      <c r="S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4"/>
      <c r="K439" s="14"/>
      <c r="L439" s="14"/>
      <c r="M439" s="7"/>
      <c r="N439" s="7"/>
      <c r="O439" s="7"/>
      <c r="P439" s="7"/>
      <c r="Q439" s="21"/>
      <c r="R439" s="7"/>
      <c r="S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4"/>
      <c r="K440" s="14"/>
      <c r="L440" s="14"/>
      <c r="M440" s="7"/>
      <c r="N440" s="7"/>
      <c r="O440" s="7"/>
      <c r="P440" s="7"/>
      <c r="Q440" s="21"/>
      <c r="R440" s="7"/>
      <c r="S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4"/>
      <c r="K441" s="14"/>
      <c r="L441" s="14"/>
      <c r="M441" s="7"/>
      <c r="N441" s="7"/>
      <c r="O441" s="7"/>
      <c r="P441" s="7"/>
      <c r="Q441" s="21"/>
      <c r="R441" s="7"/>
      <c r="S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4"/>
      <c r="K442" s="14"/>
      <c r="L442" s="14"/>
      <c r="M442" s="7"/>
      <c r="N442" s="7"/>
      <c r="O442" s="7"/>
      <c r="P442" s="7"/>
      <c r="Q442" s="21"/>
      <c r="R442" s="7"/>
      <c r="S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4"/>
      <c r="K443" s="14"/>
      <c r="L443" s="14"/>
      <c r="M443" s="7"/>
      <c r="N443" s="7"/>
      <c r="O443" s="7"/>
      <c r="P443" s="7"/>
      <c r="Q443" s="21"/>
      <c r="R443" s="7"/>
      <c r="S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4"/>
      <c r="K444" s="14"/>
      <c r="L444" s="14"/>
      <c r="M444" s="7"/>
      <c r="N444" s="7"/>
      <c r="O444" s="7"/>
      <c r="P444" s="7"/>
      <c r="Q444" s="21"/>
      <c r="R444" s="7"/>
      <c r="S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4"/>
      <c r="K445" s="14"/>
      <c r="L445" s="14"/>
      <c r="M445" s="7"/>
      <c r="N445" s="7"/>
      <c r="O445" s="7"/>
      <c r="P445" s="7"/>
      <c r="Q445" s="21"/>
      <c r="R445" s="7"/>
      <c r="S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4"/>
      <c r="K446" s="14"/>
      <c r="L446" s="14"/>
      <c r="M446" s="7"/>
      <c r="N446" s="7"/>
      <c r="O446" s="7"/>
      <c r="P446" s="7"/>
      <c r="Q446" s="21"/>
      <c r="R446" s="7"/>
      <c r="S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4"/>
      <c r="K447" s="14"/>
      <c r="L447" s="14"/>
      <c r="M447" s="7"/>
      <c r="N447" s="7"/>
      <c r="O447" s="7"/>
      <c r="P447" s="7"/>
      <c r="Q447" s="21"/>
      <c r="R447" s="7"/>
      <c r="S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4"/>
      <c r="K448" s="14"/>
      <c r="L448" s="14"/>
      <c r="M448" s="7"/>
      <c r="N448" s="7"/>
      <c r="O448" s="7"/>
      <c r="P448" s="7"/>
      <c r="Q448" s="21"/>
      <c r="R448" s="7"/>
      <c r="S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4"/>
      <c r="K449" s="14"/>
      <c r="L449" s="14"/>
      <c r="M449" s="7"/>
      <c r="N449" s="7"/>
      <c r="O449" s="7"/>
      <c r="P449" s="7"/>
      <c r="Q449" s="21"/>
      <c r="R449" s="7"/>
      <c r="S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4"/>
      <c r="K450" s="14"/>
      <c r="L450" s="14"/>
      <c r="M450" s="7"/>
      <c r="N450" s="7"/>
      <c r="O450" s="7"/>
      <c r="P450" s="7"/>
      <c r="Q450" s="21"/>
      <c r="R450" s="7"/>
      <c r="S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4"/>
      <c r="K451" s="14"/>
      <c r="L451" s="14"/>
      <c r="M451" s="7"/>
      <c r="N451" s="7"/>
      <c r="O451" s="7"/>
      <c r="P451" s="7"/>
      <c r="Q451" s="21"/>
      <c r="R451" s="7"/>
      <c r="S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4"/>
      <c r="K452" s="14"/>
      <c r="L452" s="14"/>
      <c r="M452" s="7"/>
      <c r="N452" s="7"/>
      <c r="O452" s="7"/>
      <c r="P452" s="7"/>
      <c r="Q452" s="21"/>
      <c r="R452" s="7"/>
      <c r="S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4"/>
      <c r="K453" s="14"/>
      <c r="L453" s="14"/>
      <c r="M453" s="7"/>
      <c r="N453" s="7"/>
      <c r="O453" s="7"/>
      <c r="P453" s="7"/>
      <c r="Q453" s="21"/>
      <c r="R453" s="7"/>
      <c r="S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4"/>
      <c r="K454" s="14"/>
      <c r="L454" s="14"/>
      <c r="M454" s="7"/>
      <c r="N454" s="7"/>
      <c r="O454" s="7"/>
      <c r="P454" s="7"/>
      <c r="Q454" s="21"/>
      <c r="R454" s="7"/>
      <c r="S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4"/>
      <c r="K455" s="14"/>
      <c r="L455" s="14"/>
      <c r="M455" s="7"/>
      <c r="N455" s="7"/>
      <c r="O455" s="7"/>
      <c r="P455" s="7"/>
      <c r="Q455" s="21"/>
      <c r="R455" s="7"/>
      <c r="S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4"/>
      <c r="K456" s="14"/>
      <c r="L456" s="14"/>
      <c r="M456" s="7"/>
      <c r="N456" s="7"/>
      <c r="O456" s="7"/>
      <c r="P456" s="7"/>
      <c r="Q456" s="21"/>
      <c r="R456" s="7"/>
      <c r="S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4"/>
      <c r="K457" s="14"/>
      <c r="L457" s="14"/>
      <c r="M457" s="7"/>
      <c r="N457" s="7"/>
      <c r="O457" s="7"/>
      <c r="P457" s="7"/>
      <c r="Q457" s="21"/>
      <c r="R457" s="7"/>
      <c r="S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4"/>
      <c r="K458" s="14"/>
      <c r="L458" s="14"/>
      <c r="M458" s="7"/>
      <c r="N458" s="7"/>
      <c r="O458" s="7"/>
      <c r="P458" s="7"/>
      <c r="Q458" s="21"/>
      <c r="R458" s="7"/>
      <c r="S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4"/>
      <c r="K459" s="14"/>
      <c r="L459" s="14"/>
      <c r="M459" s="7"/>
      <c r="N459" s="7"/>
      <c r="O459" s="7"/>
      <c r="P459" s="7"/>
      <c r="Q459" s="21"/>
      <c r="R459" s="7"/>
      <c r="S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4"/>
      <c r="K460" s="14"/>
      <c r="L460" s="14"/>
      <c r="M460" s="7"/>
      <c r="N460" s="7"/>
      <c r="O460" s="7"/>
      <c r="P460" s="7"/>
      <c r="Q460" s="21"/>
      <c r="R460" s="7"/>
      <c r="S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4"/>
      <c r="K461" s="14"/>
      <c r="L461" s="14"/>
      <c r="M461" s="7"/>
      <c r="N461" s="7"/>
      <c r="O461" s="7"/>
      <c r="P461" s="7"/>
      <c r="Q461" s="21"/>
      <c r="R461" s="7"/>
      <c r="S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4"/>
      <c r="K462" s="14"/>
      <c r="L462" s="14"/>
      <c r="M462" s="7"/>
      <c r="N462" s="7"/>
      <c r="O462" s="7"/>
      <c r="P462" s="7"/>
      <c r="Q462" s="21"/>
      <c r="R462" s="7"/>
      <c r="S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4"/>
      <c r="K463" s="14"/>
      <c r="L463" s="14"/>
      <c r="M463" s="7"/>
      <c r="N463" s="7"/>
      <c r="O463" s="7"/>
      <c r="P463" s="7"/>
      <c r="Q463" s="21"/>
      <c r="R463" s="7"/>
      <c r="S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4"/>
      <c r="K464" s="14"/>
      <c r="L464" s="14"/>
      <c r="M464" s="7"/>
      <c r="N464" s="7"/>
      <c r="O464" s="7"/>
      <c r="P464" s="7"/>
      <c r="Q464" s="21"/>
      <c r="R464" s="7"/>
      <c r="S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4"/>
      <c r="K465" s="14"/>
      <c r="L465" s="14"/>
      <c r="M465" s="7"/>
      <c r="N465" s="7"/>
      <c r="O465" s="7"/>
      <c r="P465" s="7"/>
      <c r="Q465" s="21"/>
      <c r="R465" s="7"/>
      <c r="S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4"/>
      <c r="K466" s="14"/>
      <c r="L466" s="14"/>
      <c r="M466" s="7"/>
      <c r="N466" s="7"/>
      <c r="O466" s="7"/>
      <c r="P466" s="7"/>
      <c r="Q466" s="21"/>
      <c r="R466" s="7"/>
      <c r="S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4"/>
      <c r="K467" s="14"/>
      <c r="L467" s="14"/>
      <c r="M467" s="7"/>
      <c r="N467" s="7"/>
      <c r="O467" s="7"/>
      <c r="P467" s="7"/>
      <c r="Q467" s="21"/>
      <c r="R467" s="7"/>
      <c r="S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4"/>
      <c r="K468" s="14"/>
      <c r="L468" s="14"/>
      <c r="M468" s="7"/>
      <c r="N468" s="7"/>
      <c r="O468" s="7"/>
      <c r="P468" s="7"/>
      <c r="Q468" s="21"/>
      <c r="R468" s="7"/>
      <c r="S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4"/>
      <c r="K469" s="14"/>
      <c r="L469" s="14"/>
      <c r="M469" s="7"/>
      <c r="N469" s="7"/>
      <c r="O469" s="7"/>
      <c r="P469" s="7"/>
      <c r="Q469" s="21"/>
      <c r="R469" s="7"/>
      <c r="S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4"/>
      <c r="K470" s="14"/>
      <c r="L470" s="14"/>
      <c r="M470" s="7"/>
      <c r="N470" s="7"/>
      <c r="O470" s="7"/>
      <c r="P470" s="7"/>
      <c r="Q470" s="21"/>
      <c r="R470" s="7"/>
      <c r="S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4"/>
      <c r="K471" s="14"/>
      <c r="L471" s="14"/>
      <c r="M471" s="7"/>
      <c r="N471" s="7"/>
      <c r="O471" s="7"/>
      <c r="P471" s="7"/>
      <c r="Q471" s="21"/>
      <c r="R471" s="7"/>
      <c r="S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4"/>
      <c r="K472" s="14"/>
      <c r="L472" s="14"/>
      <c r="M472" s="7"/>
      <c r="N472" s="7"/>
      <c r="O472" s="7"/>
      <c r="P472" s="7"/>
      <c r="Q472" s="21"/>
      <c r="R472" s="7"/>
      <c r="S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4"/>
      <c r="K473" s="14"/>
      <c r="L473" s="14"/>
      <c r="M473" s="7"/>
      <c r="N473" s="7"/>
      <c r="O473" s="7"/>
      <c r="P473" s="7"/>
      <c r="Q473" s="21"/>
      <c r="R473" s="7"/>
      <c r="S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4"/>
      <c r="K474" s="14"/>
      <c r="L474" s="14"/>
      <c r="M474" s="7"/>
      <c r="N474" s="7"/>
      <c r="O474" s="7"/>
      <c r="P474" s="7"/>
      <c r="Q474" s="21"/>
      <c r="R474" s="7"/>
      <c r="S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4"/>
      <c r="K475" s="14"/>
      <c r="L475" s="14"/>
      <c r="M475" s="7"/>
      <c r="N475" s="7"/>
      <c r="O475" s="7"/>
      <c r="P475" s="7"/>
      <c r="Q475" s="21"/>
      <c r="R475" s="7"/>
      <c r="S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4"/>
      <c r="K476" s="14"/>
      <c r="L476" s="14"/>
      <c r="M476" s="7"/>
      <c r="N476" s="7"/>
      <c r="O476" s="7"/>
      <c r="P476" s="7"/>
      <c r="Q476" s="21"/>
      <c r="R476" s="7"/>
      <c r="S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4"/>
      <c r="K477" s="14"/>
      <c r="L477" s="14"/>
      <c r="M477" s="7"/>
      <c r="N477" s="7"/>
      <c r="O477" s="7"/>
      <c r="P477" s="7"/>
      <c r="Q477" s="21"/>
      <c r="R477" s="7"/>
      <c r="S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4"/>
      <c r="K478" s="14"/>
      <c r="L478" s="14"/>
      <c r="M478" s="7"/>
      <c r="N478" s="7"/>
      <c r="O478" s="7"/>
      <c r="P478" s="7"/>
      <c r="Q478" s="21"/>
      <c r="R478" s="7"/>
      <c r="S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4"/>
      <c r="K479" s="14"/>
      <c r="L479" s="14"/>
      <c r="M479" s="7"/>
      <c r="N479" s="7"/>
      <c r="O479" s="7"/>
      <c r="P479" s="7"/>
      <c r="Q479" s="21"/>
      <c r="R479" s="7"/>
      <c r="S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4"/>
      <c r="K480" s="14"/>
      <c r="L480" s="14"/>
      <c r="M480" s="7"/>
      <c r="N480" s="7"/>
      <c r="O480" s="7"/>
      <c r="P480" s="7"/>
      <c r="Q480" s="21"/>
      <c r="R480" s="7"/>
      <c r="S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4"/>
      <c r="K481" s="14"/>
      <c r="L481" s="14"/>
      <c r="M481" s="7"/>
      <c r="N481" s="7"/>
      <c r="O481" s="7"/>
      <c r="P481" s="7"/>
      <c r="Q481" s="21"/>
      <c r="R481" s="7"/>
      <c r="S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4"/>
      <c r="K482" s="14"/>
      <c r="L482" s="14"/>
      <c r="M482" s="7"/>
      <c r="N482" s="7"/>
      <c r="O482" s="7"/>
      <c r="P482" s="7"/>
      <c r="Q482" s="21"/>
      <c r="R482" s="7"/>
      <c r="S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4"/>
      <c r="K483" s="14"/>
      <c r="L483" s="14"/>
      <c r="M483" s="7"/>
      <c r="N483" s="7"/>
      <c r="O483" s="7"/>
      <c r="P483" s="7"/>
      <c r="Q483" s="21"/>
      <c r="R483" s="7"/>
      <c r="S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4"/>
      <c r="K484" s="14"/>
      <c r="L484" s="14"/>
      <c r="M484" s="7"/>
      <c r="N484" s="7"/>
      <c r="O484" s="7"/>
      <c r="P484" s="7"/>
      <c r="Q484" s="21"/>
      <c r="R484" s="7"/>
      <c r="S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4"/>
      <c r="K485" s="14"/>
      <c r="L485" s="14"/>
      <c r="M485" s="7"/>
      <c r="N485" s="7"/>
      <c r="O485" s="7"/>
      <c r="P485" s="7"/>
      <c r="Q485" s="21"/>
      <c r="R485" s="7"/>
      <c r="S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4"/>
      <c r="K486" s="14"/>
      <c r="L486" s="14"/>
      <c r="M486" s="7"/>
      <c r="N486" s="7"/>
      <c r="O486" s="7"/>
      <c r="P486" s="7"/>
      <c r="Q486" s="21"/>
      <c r="R486" s="7"/>
      <c r="S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4"/>
      <c r="K487" s="14"/>
      <c r="L487" s="14"/>
      <c r="M487" s="7"/>
      <c r="N487" s="7"/>
      <c r="O487" s="7"/>
      <c r="P487" s="7"/>
      <c r="Q487" s="21"/>
      <c r="R487" s="7"/>
      <c r="S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4"/>
      <c r="K488" s="14"/>
      <c r="L488" s="14"/>
      <c r="M488" s="7"/>
      <c r="N488" s="7"/>
      <c r="O488" s="7"/>
      <c r="P488" s="7"/>
      <c r="Q488" s="21"/>
      <c r="R488" s="7"/>
      <c r="S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4"/>
      <c r="K489" s="14"/>
      <c r="L489" s="14"/>
      <c r="M489" s="7"/>
      <c r="N489" s="7"/>
      <c r="O489" s="7"/>
      <c r="P489" s="7"/>
      <c r="Q489" s="21"/>
      <c r="R489" s="7"/>
      <c r="S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4"/>
      <c r="K490" s="14"/>
      <c r="L490" s="14"/>
      <c r="M490" s="7"/>
      <c r="N490" s="7"/>
      <c r="O490" s="7"/>
      <c r="P490" s="7"/>
      <c r="Q490" s="21"/>
      <c r="R490" s="7"/>
      <c r="S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4"/>
      <c r="K491" s="14"/>
      <c r="L491" s="14"/>
      <c r="M491" s="7"/>
      <c r="N491" s="7"/>
      <c r="O491" s="7"/>
      <c r="P491" s="7"/>
      <c r="Q491" s="21"/>
      <c r="R491" s="7"/>
      <c r="S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4"/>
      <c r="K492" s="14"/>
      <c r="L492" s="14"/>
      <c r="M492" s="7"/>
      <c r="N492" s="7"/>
      <c r="O492" s="7"/>
      <c r="P492" s="7"/>
      <c r="Q492" s="21"/>
      <c r="R492" s="7"/>
      <c r="S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4"/>
      <c r="K493" s="14"/>
      <c r="L493" s="14"/>
      <c r="M493" s="7"/>
      <c r="N493" s="7"/>
      <c r="O493" s="7"/>
      <c r="P493" s="7"/>
      <c r="Q493" s="21"/>
      <c r="R493" s="7"/>
      <c r="S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4"/>
      <c r="K494" s="14"/>
      <c r="L494" s="14"/>
      <c r="M494" s="7"/>
      <c r="N494" s="7"/>
      <c r="O494" s="7"/>
      <c r="P494" s="7"/>
      <c r="Q494" s="21"/>
      <c r="R494" s="7"/>
      <c r="S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4"/>
      <c r="K495" s="14"/>
      <c r="L495" s="14"/>
      <c r="M495" s="7"/>
      <c r="N495" s="7"/>
      <c r="O495" s="7"/>
      <c r="P495" s="7"/>
      <c r="Q495" s="21"/>
      <c r="R495" s="7"/>
      <c r="S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4"/>
      <c r="K496" s="14"/>
      <c r="L496" s="14"/>
      <c r="M496" s="7"/>
      <c r="N496" s="7"/>
      <c r="O496" s="7"/>
      <c r="P496" s="7"/>
      <c r="Q496" s="21"/>
      <c r="R496" s="7"/>
      <c r="S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4"/>
      <c r="K497" s="14"/>
      <c r="L497" s="14"/>
      <c r="M497" s="7"/>
      <c r="N497" s="7"/>
      <c r="O497" s="7"/>
      <c r="P497" s="7"/>
      <c r="Q497" s="21"/>
      <c r="R497" s="7"/>
      <c r="S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4"/>
      <c r="K498" s="14"/>
      <c r="L498" s="14"/>
      <c r="M498" s="7"/>
      <c r="N498" s="7"/>
      <c r="O498" s="7"/>
      <c r="P498" s="7"/>
      <c r="Q498" s="21"/>
      <c r="R498" s="7"/>
      <c r="S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4"/>
      <c r="K499" s="14"/>
      <c r="L499" s="14"/>
      <c r="M499" s="7"/>
      <c r="N499" s="7"/>
      <c r="O499" s="7"/>
      <c r="P499" s="7"/>
      <c r="Q499" s="21"/>
      <c r="R499" s="7"/>
      <c r="S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4"/>
      <c r="K500" s="14"/>
      <c r="L500" s="14"/>
      <c r="M500" s="7"/>
      <c r="N500" s="7"/>
      <c r="O500" s="7"/>
      <c r="P500" s="7"/>
      <c r="Q500" s="21"/>
      <c r="R500" s="7"/>
      <c r="S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4"/>
      <c r="K501" s="14"/>
      <c r="L501" s="14"/>
      <c r="M501" s="7"/>
      <c r="N501" s="7"/>
      <c r="O501" s="7"/>
      <c r="P501" s="7"/>
      <c r="Q501" s="21"/>
      <c r="R501" s="7"/>
      <c r="S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4"/>
      <c r="K502" s="14"/>
      <c r="L502" s="14"/>
      <c r="M502" s="7"/>
      <c r="N502" s="7"/>
      <c r="O502" s="7"/>
      <c r="P502" s="7"/>
      <c r="Q502" s="21"/>
      <c r="R502" s="7"/>
      <c r="S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4"/>
      <c r="K503" s="14"/>
      <c r="L503" s="14"/>
      <c r="M503" s="7"/>
      <c r="N503" s="7"/>
      <c r="O503" s="7"/>
      <c r="P503" s="7"/>
      <c r="Q503" s="21"/>
      <c r="R503" s="7"/>
      <c r="S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4"/>
      <c r="K504" s="14"/>
      <c r="L504" s="14"/>
      <c r="M504" s="7"/>
      <c r="N504" s="7"/>
      <c r="O504" s="7"/>
      <c r="P504" s="7"/>
      <c r="Q504" s="21"/>
      <c r="R504" s="7"/>
      <c r="S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4"/>
      <c r="K505" s="14"/>
      <c r="L505" s="14"/>
      <c r="M505" s="7"/>
      <c r="N505" s="7"/>
      <c r="O505" s="7"/>
      <c r="P505" s="7"/>
      <c r="Q505" s="21"/>
      <c r="R505" s="7"/>
      <c r="S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4"/>
      <c r="K506" s="14"/>
      <c r="L506" s="14"/>
      <c r="M506" s="7"/>
      <c r="N506" s="7"/>
      <c r="O506" s="7"/>
      <c r="P506" s="7"/>
      <c r="Q506" s="21"/>
      <c r="R506" s="7"/>
      <c r="S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4"/>
      <c r="K507" s="14"/>
      <c r="L507" s="14"/>
      <c r="M507" s="7"/>
      <c r="N507" s="7"/>
      <c r="O507" s="7"/>
      <c r="P507" s="7"/>
      <c r="Q507" s="21"/>
      <c r="R507" s="7"/>
      <c r="S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4"/>
      <c r="K508" s="14"/>
      <c r="L508" s="14"/>
      <c r="M508" s="7"/>
      <c r="N508" s="7"/>
      <c r="O508" s="7"/>
      <c r="P508" s="7"/>
      <c r="Q508" s="21"/>
      <c r="R508" s="7"/>
      <c r="S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4"/>
      <c r="K509" s="14"/>
      <c r="L509" s="14"/>
      <c r="M509" s="7"/>
      <c r="N509" s="7"/>
      <c r="O509" s="7"/>
      <c r="P509" s="7"/>
      <c r="Q509" s="21"/>
      <c r="R509" s="7"/>
      <c r="S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4"/>
      <c r="K510" s="14"/>
      <c r="L510" s="14"/>
      <c r="M510" s="7"/>
      <c r="N510" s="7"/>
      <c r="O510" s="7"/>
      <c r="P510" s="7"/>
      <c r="Q510" s="21"/>
      <c r="R510" s="7"/>
      <c r="S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4"/>
      <c r="K511" s="14"/>
      <c r="L511" s="14"/>
      <c r="M511" s="7"/>
      <c r="N511" s="7"/>
      <c r="O511" s="7"/>
      <c r="P511" s="7"/>
      <c r="Q511" s="21"/>
      <c r="R511" s="7"/>
      <c r="S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4"/>
      <c r="K512" s="14"/>
      <c r="L512" s="14"/>
      <c r="M512" s="7"/>
      <c r="N512" s="7"/>
      <c r="O512" s="7"/>
      <c r="P512" s="7"/>
      <c r="Q512" s="21"/>
      <c r="R512" s="7"/>
      <c r="S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4"/>
      <c r="K513" s="14"/>
      <c r="L513" s="14"/>
      <c r="M513" s="7"/>
      <c r="N513" s="7"/>
      <c r="O513" s="7"/>
      <c r="P513" s="7"/>
      <c r="Q513" s="21"/>
      <c r="R513" s="7"/>
      <c r="S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4"/>
      <c r="K514" s="14"/>
      <c r="L514" s="14"/>
      <c r="M514" s="7"/>
      <c r="N514" s="7"/>
      <c r="O514" s="7"/>
      <c r="P514" s="7"/>
      <c r="Q514" s="21"/>
      <c r="R514" s="7"/>
      <c r="S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4"/>
      <c r="K515" s="14"/>
      <c r="L515" s="14"/>
      <c r="M515" s="7"/>
      <c r="N515" s="7"/>
      <c r="O515" s="7"/>
      <c r="P515" s="7"/>
      <c r="Q515" s="21"/>
      <c r="R515" s="7"/>
      <c r="S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4"/>
      <c r="K516" s="14"/>
      <c r="L516" s="14"/>
      <c r="M516" s="7"/>
      <c r="N516" s="7"/>
      <c r="O516" s="7"/>
      <c r="P516" s="7"/>
      <c r="Q516" s="21"/>
      <c r="R516" s="7"/>
      <c r="S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4"/>
      <c r="K517" s="14"/>
      <c r="L517" s="14"/>
      <c r="M517" s="7"/>
      <c r="N517" s="7"/>
      <c r="O517" s="7"/>
      <c r="P517" s="7"/>
      <c r="Q517" s="21"/>
      <c r="R517" s="7"/>
      <c r="S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4"/>
      <c r="K518" s="14"/>
      <c r="L518" s="14"/>
      <c r="M518" s="7"/>
      <c r="N518" s="7"/>
      <c r="O518" s="7"/>
      <c r="P518" s="7"/>
      <c r="Q518" s="21"/>
      <c r="R518" s="7"/>
      <c r="S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4"/>
      <c r="K519" s="14"/>
      <c r="L519" s="14"/>
      <c r="M519" s="7"/>
      <c r="N519" s="7"/>
      <c r="O519" s="7"/>
      <c r="P519" s="7"/>
      <c r="Q519" s="21"/>
      <c r="R519" s="7"/>
      <c r="S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4"/>
      <c r="K520" s="14"/>
      <c r="L520" s="14"/>
      <c r="M520" s="7"/>
      <c r="N520" s="7"/>
      <c r="O520" s="7"/>
      <c r="P520" s="7"/>
      <c r="Q520" s="21"/>
      <c r="R520" s="7"/>
      <c r="S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4"/>
      <c r="K521" s="14"/>
      <c r="L521" s="14"/>
      <c r="M521" s="7"/>
      <c r="N521" s="7"/>
      <c r="O521" s="7"/>
      <c r="P521" s="7"/>
      <c r="Q521" s="21"/>
      <c r="R521" s="7"/>
      <c r="S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4"/>
      <c r="K522" s="14"/>
      <c r="L522" s="14"/>
      <c r="M522" s="7"/>
      <c r="N522" s="7"/>
      <c r="O522" s="7"/>
      <c r="P522" s="7"/>
      <c r="Q522" s="21"/>
      <c r="R522" s="7"/>
      <c r="S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4"/>
      <c r="K523" s="14"/>
      <c r="L523" s="14"/>
      <c r="M523" s="7"/>
      <c r="N523" s="7"/>
      <c r="O523" s="7"/>
      <c r="P523" s="7"/>
      <c r="Q523" s="21"/>
      <c r="R523" s="7"/>
      <c r="S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4"/>
      <c r="K524" s="14"/>
      <c r="L524" s="14"/>
      <c r="M524" s="7"/>
      <c r="N524" s="7"/>
      <c r="O524" s="7"/>
      <c r="P524" s="7"/>
      <c r="Q524" s="21"/>
      <c r="R524" s="7"/>
      <c r="S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4"/>
      <c r="K525" s="14"/>
      <c r="L525" s="14"/>
      <c r="M525" s="7"/>
      <c r="N525" s="7"/>
      <c r="O525" s="7"/>
      <c r="P525" s="7"/>
      <c r="Q525" s="21"/>
      <c r="R525" s="7"/>
      <c r="S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4"/>
      <c r="K526" s="14"/>
      <c r="L526" s="14"/>
      <c r="M526" s="7"/>
      <c r="N526" s="7"/>
      <c r="O526" s="7"/>
      <c r="P526" s="7"/>
      <c r="Q526" s="21"/>
      <c r="R526" s="7"/>
      <c r="S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4"/>
      <c r="K527" s="14"/>
      <c r="L527" s="14"/>
      <c r="M527" s="7"/>
      <c r="N527" s="7"/>
      <c r="O527" s="7"/>
      <c r="P527" s="7"/>
      <c r="Q527" s="21"/>
      <c r="R527" s="7"/>
      <c r="S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4"/>
      <c r="K528" s="14"/>
      <c r="L528" s="14"/>
      <c r="M528" s="7"/>
      <c r="N528" s="7"/>
      <c r="O528" s="7"/>
      <c r="P528" s="7"/>
      <c r="Q528" s="21"/>
      <c r="R528" s="7"/>
      <c r="S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4"/>
      <c r="K529" s="14"/>
      <c r="L529" s="14"/>
      <c r="M529" s="7"/>
      <c r="N529" s="7"/>
      <c r="O529" s="7"/>
      <c r="P529" s="7"/>
      <c r="Q529" s="21"/>
      <c r="R529" s="7"/>
      <c r="S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4"/>
      <c r="K530" s="14"/>
      <c r="L530" s="14"/>
      <c r="M530" s="7"/>
      <c r="N530" s="7"/>
      <c r="O530" s="7"/>
      <c r="P530" s="7"/>
      <c r="Q530" s="21"/>
      <c r="R530" s="7"/>
      <c r="S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4"/>
      <c r="K531" s="14"/>
      <c r="L531" s="14"/>
      <c r="M531" s="7"/>
      <c r="N531" s="7"/>
      <c r="O531" s="7"/>
      <c r="P531" s="7"/>
      <c r="Q531" s="21"/>
      <c r="R531" s="7"/>
      <c r="S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4"/>
      <c r="K532" s="14"/>
      <c r="L532" s="14"/>
      <c r="M532" s="7"/>
      <c r="N532" s="7"/>
      <c r="O532" s="7"/>
      <c r="P532" s="7"/>
      <c r="Q532" s="21"/>
      <c r="R532" s="7"/>
      <c r="S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4"/>
      <c r="K533" s="14"/>
      <c r="L533" s="14"/>
      <c r="M533" s="7"/>
      <c r="N533" s="7"/>
      <c r="O533" s="7"/>
      <c r="P533" s="7"/>
      <c r="Q533" s="21"/>
      <c r="R533" s="7"/>
      <c r="S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4"/>
      <c r="K534" s="14"/>
      <c r="L534" s="14"/>
      <c r="M534" s="7"/>
      <c r="N534" s="7"/>
      <c r="O534" s="7"/>
      <c r="P534" s="7"/>
      <c r="Q534" s="21"/>
      <c r="R534" s="7"/>
      <c r="S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4"/>
      <c r="K535" s="14"/>
      <c r="L535" s="14"/>
      <c r="M535" s="7"/>
      <c r="N535" s="7"/>
      <c r="O535" s="7"/>
      <c r="P535" s="7"/>
      <c r="Q535" s="21"/>
      <c r="R535" s="7"/>
      <c r="S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4"/>
      <c r="K536" s="14"/>
      <c r="L536" s="14"/>
      <c r="M536" s="7"/>
      <c r="N536" s="7"/>
      <c r="O536" s="7"/>
      <c r="P536" s="7"/>
      <c r="Q536" s="21"/>
      <c r="R536" s="7"/>
      <c r="S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4"/>
      <c r="K537" s="14"/>
      <c r="L537" s="14"/>
      <c r="M537" s="7"/>
      <c r="N537" s="7"/>
      <c r="O537" s="7"/>
      <c r="P537" s="7"/>
      <c r="Q537" s="21"/>
      <c r="R537" s="7"/>
      <c r="S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4"/>
      <c r="K538" s="14"/>
      <c r="L538" s="14"/>
      <c r="M538" s="7"/>
      <c r="N538" s="7"/>
      <c r="O538" s="7"/>
      <c r="P538" s="7"/>
      <c r="Q538" s="21"/>
      <c r="R538" s="7"/>
      <c r="S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4"/>
      <c r="K539" s="14"/>
      <c r="L539" s="14"/>
      <c r="M539" s="7"/>
      <c r="N539" s="7"/>
      <c r="O539" s="7"/>
      <c r="P539" s="7"/>
      <c r="Q539" s="21"/>
      <c r="R539" s="7"/>
      <c r="S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4"/>
      <c r="K540" s="14"/>
      <c r="L540" s="14"/>
      <c r="M540" s="7"/>
      <c r="N540" s="7"/>
      <c r="O540" s="7"/>
      <c r="P540" s="7"/>
      <c r="Q540" s="21"/>
      <c r="R540" s="7"/>
      <c r="S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4"/>
      <c r="K541" s="14"/>
      <c r="L541" s="14"/>
      <c r="M541" s="7"/>
      <c r="N541" s="7"/>
      <c r="O541" s="7"/>
      <c r="P541" s="7"/>
      <c r="Q541" s="21"/>
      <c r="R541" s="7"/>
      <c r="S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4"/>
      <c r="K542" s="14"/>
      <c r="L542" s="14"/>
      <c r="M542" s="7"/>
      <c r="N542" s="7"/>
      <c r="O542" s="7"/>
      <c r="P542" s="7"/>
      <c r="Q542" s="21"/>
      <c r="R542" s="7"/>
      <c r="S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4"/>
      <c r="K543" s="14"/>
      <c r="L543" s="14"/>
      <c r="M543" s="7"/>
      <c r="N543" s="7"/>
      <c r="O543" s="7"/>
      <c r="P543" s="7"/>
      <c r="Q543" s="21"/>
      <c r="R543" s="7"/>
      <c r="S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4"/>
      <c r="K544" s="14"/>
      <c r="L544" s="14"/>
      <c r="M544" s="7"/>
      <c r="N544" s="7"/>
      <c r="O544" s="7"/>
      <c r="P544" s="7"/>
      <c r="Q544" s="21"/>
      <c r="R544" s="7"/>
      <c r="S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4"/>
      <c r="K545" s="14"/>
      <c r="L545" s="14"/>
      <c r="M545" s="7"/>
      <c r="N545" s="7"/>
      <c r="O545" s="7"/>
      <c r="P545" s="7"/>
      <c r="Q545" s="21"/>
      <c r="R545" s="7"/>
      <c r="S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4"/>
      <c r="K546" s="14"/>
      <c r="L546" s="14"/>
      <c r="M546" s="7"/>
      <c r="N546" s="7"/>
      <c r="O546" s="7"/>
      <c r="P546" s="7"/>
      <c r="Q546" s="21"/>
      <c r="R546" s="7"/>
      <c r="S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4"/>
      <c r="K547" s="14"/>
      <c r="L547" s="14"/>
      <c r="M547" s="7"/>
      <c r="N547" s="7"/>
      <c r="O547" s="7"/>
      <c r="P547" s="7"/>
      <c r="Q547" s="21"/>
      <c r="R547" s="7"/>
      <c r="S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4"/>
      <c r="K548" s="14"/>
      <c r="L548" s="14"/>
      <c r="M548" s="7"/>
      <c r="N548" s="7"/>
      <c r="O548" s="7"/>
      <c r="P548" s="7"/>
      <c r="Q548" s="21"/>
      <c r="R548" s="7"/>
      <c r="S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4"/>
      <c r="K549" s="14"/>
      <c r="L549" s="14"/>
      <c r="M549" s="7"/>
      <c r="N549" s="7"/>
      <c r="O549" s="7"/>
      <c r="P549" s="7"/>
      <c r="Q549" s="21"/>
      <c r="R549" s="7"/>
      <c r="S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4"/>
      <c r="K550" s="14"/>
      <c r="L550" s="14"/>
      <c r="M550" s="7"/>
      <c r="N550" s="7"/>
      <c r="O550" s="7"/>
      <c r="P550" s="7"/>
      <c r="Q550" s="21"/>
      <c r="R550" s="7"/>
      <c r="S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4"/>
      <c r="K551" s="14"/>
      <c r="L551" s="14"/>
      <c r="M551" s="7"/>
      <c r="N551" s="7"/>
      <c r="O551" s="7"/>
      <c r="P551" s="7"/>
      <c r="Q551" s="21"/>
      <c r="R551" s="7"/>
      <c r="S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4"/>
      <c r="K552" s="14"/>
      <c r="L552" s="14"/>
      <c r="M552" s="7"/>
      <c r="N552" s="7"/>
      <c r="O552" s="7"/>
      <c r="P552" s="7"/>
      <c r="Q552" s="21"/>
      <c r="R552" s="7"/>
      <c r="S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4"/>
      <c r="K553" s="14"/>
      <c r="L553" s="14"/>
      <c r="M553" s="7"/>
      <c r="N553" s="7"/>
      <c r="O553" s="7"/>
      <c r="P553" s="7"/>
      <c r="Q553" s="21"/>
      <c r="R553" s="7"/>
      <c r="S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4"/>
      <c r="K554" s="14"/>
      <c r="L554" s="14"/>
      <c r="M554" s="7"/>
      <c r="N554" s="7"/>
      <c r="O554" s="7"/>
      <c r="P554" s="7"/>
      <c r="Q554" s="21"/>
      <c r="R554" s="7"/>
      <c r="S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4"/>
      <c r="K555" s="14"/>
      <c r="L555" s="14"/>
      <c r="M555" s="7"/>
      <c r="N555" s="7"/>
      <c r="O555" s="7"/>
      <c r="P555" s="7"/>
      <c r="Q555" s="21"/>
      <c r="R555" s="7"/>
      <c r="S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4"/>
      <c r="K556" s="14"/>
      <c r="L556" s="14"/>
      <c r="M556" s="7"/>
      <c r="N556" s="7"/>
      <c r="O556" s="7"/>
      <c r="P556" s="7"/>
      <c r="Q556" s="21"/>
      <c r="R556" s="7"/>
      <c r="S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4"/>
      <c r="K557" s="14"/>
      <c r="L557" s="14"/>
      <c r="M557" s="7"/>
      <c r="N557" s="7"/>
      <c r="O557" s="7"/>
      <c r="P557" s="7"/>
      <c r="Q557" s="21"/>
      <c r="R557" s="7"/>
      <c r="S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4"/>
      <c r="K558" s="14"/>
      <c r="L558" s="14"/>
      <c r="M558" s="7"/>
      <c r="N558" s="7"/>
      <c r="O558" s="7"/>
      <c r="P558" s="7"/>
      <c r="Q558" s="21"/>
      <c r="R558" s="7"/>
      <c r="S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4"/>
      <c r="K559" s="14"/>
      <c r="L559" s="14"/>
      <c r="M559" s="7"/>
      <c r="N559" s="7"/>
      <c r="O559" s="7"/>
      <c r="P559" s="7"/>
      <c r="Q559" s="21"/>
      <c r="R559" s="7"/>
      <c r="S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4"/>
      <c r="K560" s="14"/>
      <c r="L560" s="14"/>
      <c r="M560" s="7"/>
      <c r="N560" s="7"/>
      <c r="O560" s="7"/>
      <c r="P560" s="7"/>
      <c r="Q560" s="21"/>
      <c r="R560" s="7"/>
      <c r="S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4"/>
      <c r="K561" s="14"/>
      <c r="L561" s="14"/>
      <c r="M561" s="7"/>
      <c r="N561" s="7"/>
      <c r="O561" s="7"/>
      <c r="P561" s="7"/>
      <c r="Q561" s="21"/>
      <c r="R561" s="7"/>
      <c r="S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4"/>
      <c r="K562" s="14"/>
      <c r="L562" s="14"/>
      <c r="M562" s="7"/>
      <c r="N562" s="7"/>
      <c r="O562" s="7"/>
      <c r="P562" s="7"/>
      <c r="Q562" s="21"/>
      <c r="R562" s="7"/>
      <c r="S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4"/>
      <c r="K563" s="14"/>
      <c r="L563" s="14"/>
      <c r="M563" s="7"/>
      <c r="N563" s="7"/>
      <c r="O563" s="7"/>
      <c r="P563" s="7"/>
      <c r="Q563" s="21"/>
      <c r="R563" s="7"/>
      <c r="S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4"/>
      <c r="K564" s="14"/>
      <c r="L564" s="14"/>
      <c r="M564" s="7"/>
      <c r="N564" s="7"/>
      <c r="O564" s="7"/>
      <c r="P564" s="7"/>
      <c r="Q564" s="21"/>
      <c r="R564" s="7"/>
      <c r="S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4"/>
      <c r="K565" s="14"/>
      <c r="L565" s="14"/>
      <c r="M565" s="7"/>
      <c r="N565" s="7"/>
      <c r="O565" s="7"/>
      <c r="P565" s="7"/>
      <c r="Q565" s="21"/>
      <c r="R565" s="7"/>
      <c r="S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4"/>
      <c r="K566" s="14"/>
      <c r="L566" s="14"/>
      <c r="M566" s="7"/>
      <c r="N566" s="7"/>
      <c r="O566" s="7"/>
      <c r="P566" s="7"/>
      <c r="Q566" s="21"/>
      <c r="R566" s="7"/>
      <c r="S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4"/>
      <c r="K567" s="14"/>
      <c r="L567" s="14"/>
      <c r="M567" s="7"/>
      <c r="N567" s="7"/>
      <c r="O567" s="7"/>
      <c r="P567" s="7"/>
      <c r="Q567" s="21"/>
      <c r="R567" s="7"/>
      <c r="S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4"/>
      <c r="K568" s="14"/>
      <c r="L568" s="14"/>
      <c r="M568" s="7"/>
      <c r="N568" s="7"/>
      <c r="O568" s="7"/>
      <c r="P568" s="7"/>
      <c r="Q568" s="21"/>
      <c r="R568" s="7"/>
      <c r="S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4"/>
      <c r="K569" s="14"/>
      <c r="L569" s="14"/>
      <c r="M569" s="7"/>
      <c r="N569" s="7"/>
      <c r="O569" s="7"/>
      <c r="P569" s="7"/>
      <c r="Q569" s="21"/>
      <c r="R569" s="7"/>
      <c r="S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4"/>
      <c r="K570" s="14"/>
      <c r="L570" s="14"/>
      <c r="M570" s="7"/>
      <c r="N570" s="7"/>
      <c r="O570" s="7"/>
      <c r="P570" s="7"/>
      <c r="Q570" s="21"/>
      <c r="R570" s="7"/>
      <c r="S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4"/>
      <c r="K571" s="14"/>
      <c r="L571" s="14"/>
      <c r="M571" s="7"/>
      <c r="N571" s="7"/>
      <c r="O571" s="7"/>
      <c r="P571" s="7"/>
      <c r="Q571" s="21"/>
      <c r="R571" s="7"/>
      <c r="S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4"/>
      <c r="K572" s="14"/>
      <c r="L572" s="14"/>
      <c r="M572" s="7"/>
      <c r="N572" s="7"/>
      <c r="O572" s="7"/>
      <c r="P572" s="7"/>
      <c r="Q572" s="21"/>
      <c r="R572" s="7"/>
      <c r="S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4"/>
      <c r="K573" s="14"/>
      <c r="L573" s="14"/>
      <c r="M573" s="7"/>
      <c r="N573" s="7"/>
      <c r="O573" s="7"/>
      <c r="P573" s="7"/>
      <c r="Q573" s="21"/>
      <c r="R573" s="7"/>
      <c r="S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4"/>
      <c r="K574" s="14"/>
      <c r="L574" s="14"/>
      <c r="M574" s="7"/>
      <c r="N574" s="7"/>
      <c r="O574" s="7"/>
      <c r="P574" s="7"/>
      <c r="Q574" s="21"/>
      <c r="R574" s="7"/>
      <c r="S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4"/>
      <c r="K575" s="14"/>
      <c r="L575" s="14"/>
      <c r="M575" s="7"/>
      <c r="N575" s="7"/>
      <c r="O575" s="7"/>
      <c r="P575" s="7"/>
      <c r="Q575" s="21"/>
      <c r="R575" s="7"/>
      <c r="S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4"/>
      <c r="K576" s="14"/>
      <c r="L576" s="14"/>
      <c r="M576" s="7"/>
      <c r="N576" s="7"/>
      <c r="O576" s="7"/>
      <c r="P576" s="7"/>
      <c r="Q576" s="21"/>
      <c r="R576" s="7"/>
      <c r="S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4"/>
      <c r="K577" s="14"/>
      <c r="L577" s="14"/>
      <c r="M577" s="7"/>
      <c r="N577" s="7"/>
      <c r="O577" s="7"/>
      <c r="P577" s="7"/>
      <c r="Q577" s="21"/>
      <c r="R577" s="7"/>
      <c r="S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4"/>
      <c r="K578" s="14"/>
      <c r="L578" s="14"/>
      <c r="M578" s="7"/>
      <c r="N578" s="7"/>
      <c r="O578" s="7"/>
      <c r="P578" s="7"/>
      <c r="Q578" s="21"/>
      <c r="R578" s="7"/>
      <c r="S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4"/>
      <c r="K579" s="14"/>
      <c r="L579" s="14"/>
      <c r="M579" s="7"/>
      <c r="N579" s="7"/>
      <c r="O579" s="7"/>
      <c r="P579" s="7"/>
      <c r="Q579" s="21"/>
      <c r="R579" s="7"/>
      <c r="S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4"/>
      <c r="K580" s="14"/>
      <c r="L580" s="14"/>
      <c r="M580" s="7"/>
      <c r="N580" s="7"/>
      <c r="O580" s="7"/>
      <c r="P580" s="7"/>
      <c r="Q580" s="21"/>
      <c r="R580" s="7"/>
      <c r="S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4"/>
      <c r="K581" s="14"/>
      <c r="L581" s="14"/>
      <c r="M581" s="7"/>
      <c r="N581" s="7"/>
      <c r="O581" s="7"/>
      <c r="P581" s="7"/>
      <c r="Q581" s="21"/>
      <c r="R581" s="7"/>
      <c r="S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4"/>
      <c r="K582" s="14"/>
      <c r="L582" s="14"/>
      <c r="M582" s="7"/>
      <c r="N582" s="7"/>
      <c r="O582" s="7"/>
      <c r="P582" s="7"/>
      <c r="Q582" s="21"/>
      <c r="R582" s="7"/>
      <c r="S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4"/>
      <c r="K583" s="14"/>
      <c r="L583" s="14"/>
      <c r="M583" s="7"/>
      <c r="N583" s="7"/>
      <c r="O583" s="7"/>
      <c r="P583" s="7"/>
      <c r="Q583" s="21"/>
      <c r="R583" s="7"/>
      <c r="S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4"/>
      <c r="K584" s="14"/>
      <c r="L584" s="14"/>
      <c r="M584" s="7"/>
      <c r="N584" s="7"/>
      <c r="O584" s="7"/>
      <c r="P584" s="7"/>
      <c r="Q584" s="21"/>
      <c r="R584" s="7"/>
      <c r="S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4"/>
      <c r="K585" s="14"/>
      <c r="L585" s="14"/>
      <c r="M585" s="7"/>
      <c r="N585" s="7"/>
      <c r="O585" s="7"/>
      <c r="P585" s="7"/>
      <c r="Q585" s="21"/>
      <c r="R585" s="7"/>
      <c r="S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4"/>
      <c r="K586" s="14"/>
      <c r="L586" s="14"/>
      <c r="M586" s="7"/>
      <c r="N586" s="7"/>
      <c r="O586" s="7"/>
      <c r="P586" s="7"/>
      <c r="Q586" s="21"/>
      <c r="R586" s="7"/>
      <c r="S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4"/>
      <c r="K587" s="14"/>
      <c r="L587" s="14"/>
      <c r="M587" s="7"/>
      <c r="N587" s="7"/>
      <c r="O587" s="7"/>
      <c r="P587" s="7"/>
      <c r="Q587" s="21"/>
      <c r="R587" s="7"/>
      <c r="S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4"/>
      <c r="K588" s="14"/>
      <c r="L588" s="14"/>
      <c r="M588" s="7"/>
      <c r="N588" s="7"/>
      <c r="O588" s="7"/>
      <c r="P588" s="7"/>
      <c r="Q588" s="21"/>
      <c r="R588" s="7"/>
      <c r="S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4"/>
      <c r="K589" s="14"/>
      <c r="L589" s="14"/>
      <c r="M589" s="7"/>
      <c r="N589" s="7"/>
      <c r="O589" s="7"/>
      <c r="P589" s="7"/>
      <c r="Q589" s="21"/>
      <c r="R589" s="7"/>
      <c r="S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4"/>
      <c r="K590" s="14"/>
      <c r="L590" s="14"/>
      <c r="M590" s="7"/>
      <c r="N590" s="7"/>
      <c r="O590" s="7"/>
      <c r="P590" s="7"/>
      <c r="Q590" s="21"/>
      <c r="R590" s="7"/>
      <c r="S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4"/>
      <c r="K591" s="14"/>
      <c r="L591" s="14"/>
      <c r="M591" s="7"/>
      <c r="N591" s="7"/>
      <c r="O591" s="7"/>
      <c r="P591" s="7"/>
      <c r="Q591" s="21"/>
      <c r="R591" s="7"/>
      <c r="S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4"/>
      <c r="K592" s="14"/>
      <c r="L592" s="14"/>
      <c r="M592" s="7"/>
      <c r="N592" s="7"/>
      <c r="O592" s="7"/>
      <c r="P592" s="7"/>
      <c r="Q592" s="21"/>
      <c r="R592" s="7"/>
      <c r="S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4"/>
      <c r="K593" s="14"/>
      <c r="L593" s="14"/>
      <c r="M593" s="7"/>
      <c r="N593" s="7"/>
      <c r="O593" s="7"/>
      <c r="P593" s="7"/>
      <c r="Q593" s="21"/>
      <c r="R593" s="7"/>
      <c r="S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4"/>
      <c r="K594" s="14"/>
      <c r="L594" s="14"/>
      <c r="M594" s="7"/>
      <c r="N594" s="7"/>
      <c r="O594" s="7"/>
      <c r="P594" s="7"/>
      <c r="Q594" s="21"/>
      <c r="R594" s="7"/>
      <c r="S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4"/>
      <c r="K595" s="14"/>
      <c r="L595" s="14"/>
      <c r="M595" s="7"/>
      <c r="N595" s="7"/>
      <c r="O595" s="7"/>
      <c r="P595" s="7"/>
      <c r="Q595" s="21"/>
      <c r="R595" s="7"/>
      <c r="S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4"/>
      <c r="K596" s="14"/>
      <c r="L596" s="14"/>
      <c r="M596" s="7"/>
      <c r="N596" s="7"/>
      <c r="O596" s="7"/>
      <c r="P596" s="7"/>
      <c r="Q596" s="21"/>
      <c r="R596" s="7"/>
      <c r="S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4"/>
      <c r="K597" s="14"/>
      <c r="L597" s="14"/>
      <c r="M597" s="7"/>
      <c r="N597" s="7"/>
      <c r="O597" s="7"/>
      <c r="P597" s="7"/>
      <c r="Q597" s="21"/>
      <c r="R597" s="7"/>
      <c r="S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4"/>
      <c r="K598" s="14"/>
      <c r="L598" s="14"/>
      <c r="M598" s="7"/>
      <c r="N598" s="7"/>
      <c r="O598" s="7"/>
      <c r="P598" s="7"/>
      <c r="Q598" s="21"/>
      <c r="R598" s="7"/>
      <c r="S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4"/>
      <c r="K599" s="14"/>
      <c r="L599" s="14"/>
      <c r="M599" s="7"/>
      <c r="N599" s="7"/>
      <c r="O599" s="7"/>
      <c r="P599" s="7"/>
      <c r="Q599" s="21"/>
      <c r="R599" s="7"/>
      <c r="S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4"/>
      <c r="K600" s="14"/>
      <c r="L600" s="14"/>
      <c r="M600" s="7"/>
      <c r="N600" s="7"/>
      <c r="O600" s="7"/>
      <c r="P600" s="7"/>
      <c r="Q600" s="21"/>
      <c r="R600" s="7"/>
      <c r="S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4"/>
      <c r="K601" s="14"/>
      <c r="L601" s="14"/>
      <c r="M601" s="7"/>
      <c r="N601" s="7"/>
      <c r="O601" s="7"/>
      <c r="P601" s="7"/>
      <c r="Q601" s="21"/>
      <c r="R601" s="7"/>
      <c r="S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4"/>
      <c r="K602" s="14"/>
      <c r="L602" s="14"/>
      <c r="M602" s="7"/>
      <c r="N602" s="7"/>
      <c r="O602" s="7"/>
      <c r="P602" s="7"/>
      <c r="Q602" s="21"/>
      <c r="R602" s="7"/>
      <c r="S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4"/>
      <c r="K603" s="14"/>
      <c r="L603" s="14"/>
      <c r="M603" s="7"/>
      <c r="N603" s="7"/>
      <c r="O603" s="7"/>
      <c r="P603" s="7"/>
      <c r="Q603" s="21"/>
      <c r="R603" s="7"/>
      <c r="S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4"/>
      <c r="K604" s="14"/>
      <c r="L604" s="14"/>
      <c r="M604" s="7"/>
      <c r="N604" s="7"/>
      <c r="O604" s="7"/>
      <c r="P604" s="7"/>
      <c r="Q604" s="21"/>
      <c r="R604" s="7"/>
      <c r="S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4"/>
      <c r="K605" s="14"/>
      <c r="L605" s="14"/>
      <c r="M605" s="7"/>
      <c r="N605" s="7"/>
      <c r="O605" s="7"/>
      <c r="P605" s="7"/>
      <c r="Q605" s="21"/>
      <c r="R605" s="7"/>
      <c r="S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4"/>
      <c r="K606" s="14"/>
      <c r="L606" s="14"/>
      <c r="M606" s="7"/>
      <c r="N606" s="7"/>
      <c r="O606" s="7"/>
      <c r="P606" s="7"/>
      <c r="Q606" s="21"/>
      <c r="R606" s="7"/>
      <c r="S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4"/>
      <c r="K607" s="14"/>
      <c r="L607" s="14"/>
      <c r="M607" s="7"/>
      <c r="N607" s="7"/>
      <c r="O607" s="7"/>
      <c r="P607" s="7"/>
      <c r="Q607" s="21"/>
      <c r="R607" s="7"/>
      <c r="S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4"/>
      <c r="K608" s="14"/>
      <c r="L608" s="14"/>
      <c r="M608" s="7"/>
      <c r="N608" s="7"/>
      <c r="O608" s="7"/>
      <c r="P608" s="7"/>
      <c r="Q608" s="21"/>
      <c r="R608" s="7"/>
      <c r="S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4"/>
      <c r="K609" s="14"/>
      <c r="L609" s="14"/>
      <c r="M609" s="7"/>
      <c r="N609" s="7"/>
      <c r="O609" s="7"/>
      <c r="P609" s="7"/>
      <c r="Q609" s="21"/>
      <c r="R609" s="7"/>
      <c r="S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4"/>
      <c r="K610" s="14"/>
      <c r="L610" s="14"/>
      <c r="M610" s="7"/>
      <c r="N610" s="7"/>
      <c r="O610" s="7"/>
      <c r="P610" s="7"/>
      <c r="Q610" s="21"/>
      <c r="R610" s="7"/>
      <c r="S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4"/>
      <c r="K611" s="14"/>
      <c r="L611" s="14"/>
      <c r="M611" s="7"/>
      <c r="N611" s="7"/>
      <c r="O611" s="7"/>
      <c r="P611" s="7"/>
      <c r="Q611" s="21"/>
      <c r="R611" s="7"/>
      <c r="S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4"/>
      <c r="K612" s="14"/>
      <c r="L612" s="14"/>
      <c r="M612" s="7"/>
      <c r="N612" s="7"/>
      <c r="O612" s="7"/>
      <c r="P612" s="7"/>
      <c r="Q612" s="21"/>
      <c r="R612" s="7"/>
      <c r="S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4"/>
      <c r="K613" s="14"/>
      <c r="L613" s="14"/>
      <c r="M613" s="7"/>
      <c r="N613" s="7"/>
      <c r="O613" s="7"/>
      <c r="P613" s="7"/>
      <c r="Q613" s="21"/>
      <c r="R613" s="7"/>
      <c r="S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4"/>
      <c r="K614" s="14"/>
      <c r="L614" s="14"/>
      <c r="M614" s="7"/>
      <c r="N614" s="7"/>
      <c r="O614" s="7"/>
      <c r="P614" s="7"/>
      <c r="Q614" s="21"/>
      <c r="R614" s="7"/>
      <c r="S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4"/>
      <c r="K615" s="14"/>
      <c r="L615" s="14"/>
      <c r="M615" s="7"/>
      <c r="N615" s="7"/>
      <c r="O615" s="7"/>
      <c r="P615" s="7"/>
      <c r="Q615" s="21"/>
      <c r="R615" s="7"/>
      <c r="S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4"/>
      <c r="K616" s="14"/>
      <c r="L616" s="14"/>
      <c r="M616" s="7"/>
      <c r="N616" s="7"/>
      <c r="O616" s="7"/>
      <c r="P616" s="7"/>
      <c r="Q616" s="21"/>
      <c r="R616" s="7"/>
      <c r="S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4"/>
      <c r="K617" s="14"/>
      <c r="L617" s="14"/>
      <c r="M617" s="7"/>
      <c r="N617" s="7"/>
      <c r="O617" s="7"/>
      <c r="P617" s="7"/>
      <c r="Q617" s="21"/>
      <c r="R617" s="7"/>
      <c r="S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4"/>
      <c r="K618" s="14"/>
      <c r="L618" s="14"/>
      <c r="M618" s="7"/>
      <c r="N618" s="7"/>
      <c r="O618" s="7"/>
      <c r="P618" s="7"/>
      <c r="Q618" s="21"/>
      <c r="R618" s="7"/>
      <c r="S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4"/>
      <c r="K619" s="14"/>
      <c r="L619" s="14"/>
      <c r="M619" s="7"/>
      <c r="N619" s="7"/>
      <c r="O619" s="7"/>
      <c r="P619" s="7"/>
      <c r="Q619" s="21"/>
      <c r="R619" s="7"/>
      <c r="S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4"/>
      <c r="K620" s="14"/>
      <c r="L620" s="14"/>
      <c r="M620" s="7"/>
      <c r="N620" s="7"/>
      <c r="O620" s="7"/>
      <c r="P620" s="7"/>
      <c r="Q620" s="21"/>
      <c r="R620" s="7"/>
      <c r="S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4"/>
      <c r="K621" s="14"/>
      <c r="L621" s="14"/>
      <c r="M621" s="7"/>
      <c r="N621" s="7"/>
      <c r="O621" s="7"/>
      <c r="P621" s="7"/>
      <c r="Q621" s="21"/>
      <c r="R621" s="7"/>
      <c r="S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4"/>
      <c r="K622" s="14"/>
      <c r="L622" s="14"/>
      <c r="M622" s="7"/>
      <c r="N622" s="7"/>
      <c r="O622" s="7"/>
      <c r="P622" s="7"/>
      <c r="Q622" s="21"/>
      <c r="R622" s="7"/>
      <c r="S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4"/>
      <c r="K623" s="14"/>
      <c r="L623" s="14"/>
      <c r="M623" s="7"/>
      <c r="N623" s="7"/>
      <c r="O623" s="7"/>
      <c r="P623" s="7"/>
      <c r="Q623" s="21"/>
      <c r="R623" s="7"/>
      <c r="S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4"/>
      <c r="K624" s="14"/>
      <c r="L624" s="14"/>
      <c r="M624" s="7"/>
      <c r="N624" s="7"/>
      <c r="O624" s="7"/>
      <c r="P624" s="7"/>
      <c r="Q624" s="21"/>
      <c r="R624" s="7"/>
      <c r="S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4"/>
      <c r="K625" s="14"/>
      <c r="L625" s="14"/>
      <c r="M625" s="7"/>
      <c r="N625" s="7"/>
      <c r="O625" s="7"/>
      <c r="P625" s="7"/>
      <c r="Q625" s="21"/>
      <c r="R625" s="7"/>
      <c r="S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4"/>
      <c r="K626" s="14"/>
      <c r="L626" s="14"/>
      <c r="M626" s="7"/>
      <c r="N626" s="7"/>
      <c r="O626" s="7"/>
      <c r="P626" s="7"/>
      <c r="Q626" s="21"/>
      <c r="R626" s="7"/>
      <c r="S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4"/>
      <c r="K627" s="14"/>
      <c r="L627" s="14"/>
      <c r="M627" s="7"/>
      <c r="N627" s="7"/>
      <c r="O627" s="7"/>
      <c r="P627" s="7"/>
      <c r="Q627" s="21"/>
      <c r="R627" s="7"/>
      <c r="S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4"/>
      <c r="K628" s="14"/>
      <c r="L628" s="14"/>
      <c r="M628" s="7"/>
      <c r="N628" s="7"/>
      <c r="O628" s="7"/>
      <c r="P628" s="7"/>
      <c r="Q628" s="21"/>
      <c r="R628" s="7"/>
      <c r="S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4"/>
      <c r="K629" s="14"/>
      <c r="L629" s="14"/>
      <c r="M629" s="7"/>
      <c r="N629" s="7"/>
      <c r="O629" s="7"/>
      <c r="P629" s="7"/>
      <c r="Q629" s="21"/>
      <c r="R629" s="7"/>
      <c r="S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4"/>
      <c r="K630" s="14"/>
      <c r="L630" s="14"/>
      <c r="M630" s="7"/>
      <c r="N630" s="7"/>
      <c r="O630" s="7"/>
      <c r="P630" s="7"/>
      <c r="Q630" s="21"/>
      <c r="R630" s="7"/>
      <c r="S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4"/>
      <c r="K631" s="14"/>
      <c r="L631" s="14"/>
      <c r="M631" s="7"/>
      <c r="N631" s="7"/>
      <c r="O631" s="7"/>
      <c r="P631" s="7"/>
      <c r="Q631" s="21"/>
      <c r="R631" s="7"/>
      <c r="S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4"/>
      <c r="K632" s="14"/>
      <c r="L632" s="14"/>
      <c r="M632" s="7"/>
      <c r="N632" s="7"/>
      <c r="O632" s="7"/>
      <c r="P632" s="7"/>
      <c r="Q632" s="21"/>
      <c r="R632" s="7"/>
      <c r="S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4"/>
      <c r="K633" s="14"/>
      <c r="L633" s="14"/>
      <c r="M633" s="7"/>
      <c r="N633" s="7"/>
      <c r="O633" s="7"/>
      <c r="P633" s="7"/>
      <c r="Q633" s="21"/>
      <c r="R633" s="7"/>
      <c r="S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4"/>
      <c r="K634" s="14"/>
      <c r="L634" s="14"/>
      <c r="M634" s="7"/>
      <c r="N634" s="7"/>
      <c r="O634" s="7"/>
      <c r="P634" s="7"/>
      <c r="Q634" s="21"/>
      <c r="R634" s="7"/>
      <c r="S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4"/>
      <c r="K635" s="14"/>
      <c r="L635" s="14"/>
      <c r="M635" s="7"/>
      <c r="N635" s="7"/>
      <c r="O635" s="7"/>
      <c r="P635" s="7"/>
      <c r="Q635" s="21"/>
      <c r="R635" s="7"/>
      <c r="S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4"/>
      <c r="K636" s="14"/>
      <c r="L636" s="14"/>
      <c r="M636" s="7"/>
      <c r="N636" s="7"/>
      <c r="O636" s="7"/>
      <c r="P636" s="7"/>
      <c r="Q636" s="21"/>
      <c r="R636" s="7"/>
      <c r="S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4"/>
      <c r="K637" s="14"/>
      <c r="L637" s="14"/>
      <c r="M637" s="7"/>
      <c r="N637" s="7"/>
      <c r="O637" s="7"/>
      <c r="P637" s="7"/>
      <c r="Q637" s="21"/>
      <c r="R637" s="7"/>
      <c r="S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4"/>
      <c r="K638" s="14"/>
      <c r="L638" s="14"/>
      <c r="M638" s="7"/>
      <c r="N638" s="7"/>
      <c r="O638" s="7"/>
      <c r="P638" s="7"/>
      <c r="Q638" s="21"/>
      <c r="R638" s="7"/>
      <c r="S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4"/>
      <c r="K639" s="14"/>
      <c r="L639" s="14"/>
      <c r="M639" s="7"/>
      <c r="N639" s="7"/>
      <c r="O639" s="7"/>
      <c r="P639" s="7"/>
      <c r="Q639" s="21"/>
      <c r="R639" s="7"/>
      <c r="S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4"/>
      <c r="K640" s="14"/>
      <c r="L640" s="14"/>
      <c r="M640" s="7"/>
      <c r="N640" s="7"/>
      <c r="O640" s="7"/>
      <c r="P640" s="7"/>
      <c r="Q640" s="21"/>
      <c r="R640" s="7"/>
      <c r="S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4"/>
      <c r="K641" s="14"/>
      <c r="L641" s="14"/>
      <c r="M641" s="7"/>
      <c r="N641" s="7"/>
      <c r="O641" s="7"/>
      <c r="P641" s="7"/>
      <c r="Q641" s="21"/>
      <c r="R641" s="7"/>
      <c r="S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4"/>
      <c r="K642" s="14"/>
      <c r="L642" s="14"/>
      <c r="M642" s="7"/>
      <c r="N642" s="7"/>
      <c r="O642" s="7"/>
      <c r="P642" s="7"/>
      <c r="Q642" s="21"/>
      <c r="R642" s="7"/>
      <c r="S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4"/>
      <c r="K643" s="14"/>
      <c r="L643" s="14"/>
      <c r="M643" s="7"/>
      <c r="N643" s="7"/>
      <c r="O643" s="7"/>
      <c r="P643" s="7"/>
      <c r="Q643" s="21"/>
      <c r="R643" s="7"/>
      <c r="S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4"/>
      <c r="K644" s="14"/>
      <c r="L644" s="14"/>
      <c r="M644" s="7"/>
      <c r="N644" s="7"/>
      <c r="O644" s="7"/>
      <c r="P644" s="7"/>
      <c r="Q644" s="21"/>
      <c r="R644" s="7"/>
      <c r="S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4"/>
      <c r="K645" s="14"/>
      <c r="L645" s="14"/>
      <c r="M645" s="7"/>
      <c r="N645" s="7"/>
      <c r="O645" s="7"/>
      <c r="P645" s="7"/>
      <c r="Q645" s="21"/>
      <c r="R645" s="7"/>
      <c r="S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4"/>
      <c r="K646" s="14"/>
      <c r="L646" s="14"/>
      <c r="M646" s="7"/>
      <c r="N646" s="7"/>
      <c r="O646" s="7"/>
      <c r="P646" s="7"/>
      <c r="Q646" s="21"/>
      <c r="R646" s="7"/>
      <c r="S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4"/>
      <c r="K647" s="14"/>
      <c r="L647" s="14"/>
      <c r="M647" s="7"/>
      <c r="N647" s="7"/>
      <c r="O647" s="7"/>
      <c r="P647" s="7"/>
      <c r="Q647" s="21"/>
      <c r="R647" s="7"/>
      <c r="S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4"/>
      <c r="K648" s="14"/>
      <c r="L648" s="14"/>
      <c r="M648" s="7"/>
      <c r="N648" s="7"/>
      <c r="O648" s="7"/>
      <c r="P648" s="7"/>
      <c r="Q648" s="21"/>
      <c r="R648" s="7"/>
      <c r="S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4"/>
      <c r="K649" s="14"/>
      <c r="L649" s="14"/>
      <c r="M649" s="7"/>
      <c r="N649" s="7"/>
      <c r="O649" s="7"/>
      <c r="P649" s="7"/>
      <c r="Q649" s="21"/>
      <c r="R649" s="7"/>
      <c r="S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4"/>
      <c r="K650" s="14"/>
      <c r="L650" s="14"/>
      <c r="M650" s="7"/>
      <c r="N650" s="7"/>
      <c r="O650" s="7"/>
      <c r="P650" s="7"/>
      <c r="Q650" s="21"/>
      <c r="R650" s="7"/>
      <c r="S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4"/>
      <c r="K651" s="14"/>
      <c r="L651" s="14"/>
      <c r="M651" s="7"/>
      <c r="N651" s="7"/>
      <c r="O651" s="7"/>
      <c r="P651" s="7"/>
      <c r="Q651" s="21"/>
      <c r="R651" s="7"/>
      <c r="S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4"/>
      <c r="K652" s="14"/>
      <c r="L652" s="14"/>
      <c r="M652" s="7"/>
      <c r="N652" s="7"/>
      <c r="O652" s="7"/>
      <c r="P652" s="7"/>
      <c r="Q652" s="21"/>
      <c r="R652" s="7"/>
      <c r="S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4"/>
      <c r="K653" s="14"/>
      <c r="L653" s="14"/>
      <c r="M653" s="7"/>
      <c r="N653" s="7"/>
      <c r="O653" s="7"/>
      <c r="P653" s="7"/>
      <c r="Q653" s="21"/>
      <c r="R653" s="7"/>
      <c r="S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4"/>
      <c r="K654" s="14"/>
      <c r="L654" s="14"/>
      <c r="M654" s="7"/>
      <c r="N654" s="7"/>
      <c r="O654" s="7"/>
      <c r="P654" s="7"/>
      <c r="Q654" s="21"/>
      <c r="R654" s="7"/>
      <c r="S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4"/>
      <c r="K655" s="14"/>
      <c r="L655" s="14"/>
      <c r="M655" s="7"/>
      <c r="N655" s="7"/>
      <c r="O655" s="7"/>
      <c r="P655" s="7"/>
      <c r="Q655" s="21"/>
      <c r="R655" s="7"/>
      <c r="S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4"/>
      <c r="K656" s="14"/>
      <c r="L656" s="14"/>
      <c r="M656" s="7"/>
      <c r="N656" s="7"/>
      <c r="O656" s="7"/>
      <c r="P656" s="7"/>
      <c r="Q656" s="21"/>
      <c r="R656" s="7"/>
      <c r="S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4"/>
      <c r="K657" s="14"/>
      <c r="L657" s="14"/>
      <c r="M657" s="7"/>
      <c r="N657" s="7"/>
      <c r="O657" s="7"/>
      <c r="P657" s="7"/>
      <c r="Q657" s="21"/>
      <c r="R657" s="7"/>
      <c r="S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4"/>
      <c r="K658" s="14"/>
      <c r="L658" s="14"/>
      <c r="M658" s="7"/>
      <c r="N658" s="7"/>
      <c r="O658" s="7"/>
      <c r="P658" s="7"/>
      <c r="Q658" s="21"/>
      <c r="R658" s="7"/>
      <c r="S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4"/>
      <c r="K659" s="14"/>
      <c r="L659" s="14"/>
      <c r="M659" s="7"/>
      <c r="N659" s="7"/>
      <c r="O659" s="7"/>
      <c r="P659" s="7"/>
      <c r="Q659" s="21"/>
      <c r="R659" s="7"/>
      <c r="S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4"/>
      <c r="K660" s="14"/>
      <c r="L660" s="14"/>
      <c r="M660" s="7"/>
      <c r="N660" s="7"/>
      <c r="O660" s="7"/>
      <c r="P660" s="7"/>
      <c r="Q660" s="21"/>
      <c r="R660" s="7"/>
      <c r="S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4"/>
      <c r="K661" s="14"/>
      <c r="L661" s="14"/>
      <c r="M661" s="7"/>
      <c r="N661" s="7"/>
      <c r="O661" s="7"/>
      <c r="P661" s="7"/>
      <c r="Q661" s="21"/>
      <c r="R661" s="7"/>
      <c r="S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4"/>
      <c r="K662" s="14"/>
      <c r="L662" s="14"/>
      <c r="M662" s="7"/>
      <c r="N662" s="7"/>
      <c r="O662" s="7"/>
      <c r="P662" s="7"/>
      <c r="Q662" s="21"/>
      <c r="R662" s="7"/>
      <c r="S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4"/>
      <c r="K663" s="14"/>
      <c r="L663" s="14"/>
      <c r="M663" s="7"/>
      <c r="N663" s="7"/>
      <c r="O663" s="7"/>
      <c r="P663" s="7"/>
      <c r="Q663" s="21"/>
      <c r="R663" s="7"/>
      <c r="S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4"/>
      <c r="K664" s="14"/>
      <c r="L664" s="14"/>
      <c r="M664" s="7"/>
      <c r="N664" s="7"/>
      <c r="O664" s="7"/>
      <c r="P664" s="7"/>
      <c r="Q664" s="21"/>
      <c r="R664" s="7"/>
      <c r="S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4"/>
      <c r="K665" s="14"/>
      <c r="L665" s="14"/>
      <c r="M665" s="7"/>
      <c r="N665" s="7"/>
      <c r="O665" s="7"/>
      <c r="P665" s="7"/>
      <c r="Q665" s="21"/>
      <c r="R665" s="7"/>
      <c r="S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4"/>
      <c r="K666" s="14"/>
      <c r="L666" s="14"/>
      <c r="M666" s="7"/>
      <c r="N666" s="7"/>
      <c r="O666" s="7"/>
      <c r="P666" s="7"/>
      <c r="Q666" s="21"/>
      <c r="R666" s="7"/>
      <c r="S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4"/>
      <c r="K667" s="14"/>
      <c r="L667" s="14"/>
      <c r="M667" s="7"/>
      <c r="N667" s="7"/>
      <c r="O667" s="7"/>
      <c r="P667" s="7"/>
      <c r="Q667" s="21"/>
      <c r="R667" s="7"/>
      <c r="S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4"/>
      <c r="K668" s="14"/>
      <c r="L668" s="14"/>
      <c r="M668" s="7"/>
      <c r="N668" s="7"/>
      <c r="O668" s="7"/>
      <c r="P668" s="7"/>
      <c r="Q668" s="21"/>
      <c r="R668" s="7"/>
      <c r="S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4"/>
      <c r="K669" s="14"/>
      <c r="L669" s="14"/>
      <c r="M669" s="7"/>
      <c r="N669" s="7"/>
      <c r="O669" s="7"/>
      <c r="P669" s="7"/>
      <c r="Q669" s="21"/>
      <c r="R669" s="7"/>
      <c r="S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4"/>
      <c r="K670" s="14"/>
      <c r="L670" s="14"/>
      <c r="M670" s="7"/>
      <c r="N670" s="7"/>
      <c r="O670" s="7"/>
      <c r="P670" s="7"/>
      <c r="Q670" s="21"/>
      <c r="R670" s="7"/>
      <c r="S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4"/>
      <c r="K671" s="14"/>
      <c r="L671" s="14"/>
      <c r="M671" s="7"/>
      <c r="N671" s="7"/>
      <c r="O671" s="7"/>
      <c r="P671" s="7"/>
      <c r="Q671" s="21"/>
      <c r="R671" s="7"/>
      <c r="S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4"/>
      <c r="K672" s="14"/>
      <c r="L672" s="14"/>
      <c r="M672" s="7"/>
      <c r="N672" s="7"/>
      <c r="O672" s="7"/>
      <c r="P672" s="7"/>
      <c r="Q672" s="21"/>
      <c r="R672" s="7"/>
      <c r="S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4"/>
      <c r="K673" s="14"/>
      <c r="L673" s="14"/>
      <c r="M673" s="7"/>
      <c r="N673" s="7"/>
      <c r="O673" s="7"/>
      <c r="P673" s="7"/>
      <c r="Q673" s="21"/>
      <c r="R673" s="7"/>
      <c r="S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4"/>
      <c r="K674" s="14"/>
      <c r="L674" s="14"/>
      <c r="M674" s="7"/>
      <c r="N674" s="7"/>
      <c r="O674" s="7"/>
      <c r="P674" s="7"/>
      <c r="Q674" s="21"/>
      <c r="R674" s="7"/>
      <c r="S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4"/>
      <c r="K675" s="14"/>
      <c r="L675" s="14"/>
      <c r="M675" s="7"/>
      <c r="N675" s="7"/>
      <c r="O675" s="7"/>
      <c r="P675" s="7"/>
      <c r="Q675" s="21"/>
      <c r="R675" s="7"/>
      <c r="S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4"/>
      <c r="K676" s="14"/>
      <c r="L676" s="14"/>
      <c r="M676" s="7"/>
      <c r="N676" s="7"/>
      <c r="O676" s="7"/>
      <c r="P676" s="7"/>
      <c r="Q676" s="21"/>
      <c r="R676" s="7"/>
      <c r="S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4"/>
      <c r="K677" s="14"/>
      <c r="L677" s="14"/>
      <c r="M677" s="7"/>
      <c r="N677" s="7"/>
      <c r="O677" s="7"/>
      <c r="P677" s="7"/>
      <c r="Q677" s="21"/>
      <c r="R677" s="7"/>
      <c r="S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4"/>
      <c r="K678" s="14"/>
      <c r="L678" s="14"/>
      <c r="M678" s="7"/>
      <c r="N678" s="7"/>
      <c r="O678" s="7"/>
      <c r="P678" s="7"/>
      <c r="Q678" s="21"/>
      <c r="R678" s="7"/>
      <c r="S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4"/>
      <c r="K679" s="14"/>
      <c r="L679" s="14"/>
      <c r="M679" s="7"/>
      <c r="N679" s="7"/>
      <c r="O679" s="7"/>
      <c r="P679" s="7"/>
      <c r="Q679" s="21"/>
      <c r="R679" s="7"/>
      <c r="S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4"/>
      <c r="K680" s="14"/>
      <c r="L680" s="14"/>
      <c r="M680" s="7"/>
      <c r="N680" s="7"/>
      <c r="O680" s="7"/>
      <c r="P680" s="7"/>
      <c r="Q680" s="21"/>
      <c r="R680" s="7"/>
      <c r="S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4"/>
      <c r="K681" s="14"/>
      <c r="L681" s="14"/>
      <c r="M681" s="7"/>
      <c r="N681" s="7"/>
      <c r="O681" s="7"/>
      <c r="P681" s="7"/>
      <c r="Q681" s="21"/>
      <c r="R681" s="7"/>
      <c r="S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4"/>
      <c r="K682" s="14"/>
      <c r="L682" s="14"/>
      <c r="M682" s="7"/>
      <c r="N682" s="7"/>
      <c r="O682" s="7"/>
      <c r="P682" s="7"/>
      <c r="Q682" s="21"/>
      <c r="R682" s="7"/>
      <c r="S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4"/>
      <c r="K683" s="14"/>
      <c r="L683" s="14"/>
      <c r="M683" s="7"/>
      <c r="N683" s="7"/>
      <c r="O683" s="7"/>
      <c r="P683" s="7"/>
      <c r="Q683" s="21"/>
      <c r="R683" s="7"/>
      <c r="S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4"/>
      <c r="K684" s="14"/>
      <c r="L684" s="14"/>
      <c r="M684" s="7"/>
      <c r="N684" s="7"/>
      <c r="O684" s="7"/>
      <c r="P684" s="7"/>
      <c r="Q684" s="21"/>
      <c r="R684" s="7"/>
      <c r="S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4"/>
      <c r="K685" s="14"/>
      <c r="L685" s="14"/>
      <c r="M685" s="7"/>
      <c r="N685" s="7"/>
      <c r="O685" s="7"/>
      <c r="P685" s="7"/>
      <c r="Q685" s="21"/>
      <c r="R685" s="7"/>
      <c r="S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4"/>
      <c r="K686" s="14"/>
      <c r="L686" s="14"/>
      <c r="M686" s="7"/>
      <c r="N686" s="7"/>
      <c r="O686" s="7"/>
      <c r="P686" s="7"/>
      <c r="Q686" s="21"/>
      <c r="R686" s="7"/>
      <c r="S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4"/>
      <c r="K687" s="14"/>
      <c r="L687" s="14"/>
      <c r="M687" s="7"/>
      <c r="N687" s="7"/>
      <c r="O687" s="7"/>
      <c r="P687" s="7"/>
      <c r="Q687" s="21"/>
      <c r="R687" s="7"/>
      <c r="S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4"/>
      <c r="K688" s="14"/>
      <c r="L688" s="14"/>
      <c r="M688" s="7"/>
      <c r="N688" s="7"/>
      <c r="O688" s="7"/>
      <c r="P688" s="7"/>
      <c r="Q688" s="21"/>
      <c r="R688" s="7"/>
      <c r="S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4"/>
      <c r="K689" s="14"/>
      <c r="L689" s="14"/>
      <c r="M689" s="7"/>
      <c r="N689" s="7"/>
      <c r="O689" s="7"/>
      <c r="P689" s="7"/>
      <c r="Q689" s="21"/>
      <c r="R689" s="7"/>
      <c r="S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4"/>
      <c r="K690" s="14"/>
      <c r="L690" s="14"/>
      <c r="M690" s="7"/>
      <c r="N690" s="7"/>
      <c r="O690" s="7"/>
      <c r="P690" s="7"/>
      <c r="Q690" s="21"/>
      <c r="R690" s="7"/>
      <c r="S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4"/>
      <c r="K691" s="14"/>
      <c r="L691" s="14"/>
      <c r="M691" s="7"/>
      <c r="N691" s="7"/>
      <c r="O691" s="7"/>
      <c r="P691" s="7"/>
      <c r="Q691" s="21"/>
      <c r="R691" s="7"/>
      <c r="S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4"/>
      <c r="K692" s="14"/>
      <c r="L692" s="14"/>
      <c r="M692" s="7"/>
      <c r="N692" s="7"/>
      <c r="O692" s="7"/>
      <c r="P692" s="7"/>
      <c r="Q692" s="21"/>
      <c r="R692" s="7"/>
      <c r="S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4"/>
      <c r="K693" s="14"/>
      <c r="L693" s="14"/>
      <c r="M693" s="7"/>
      <c r="N693" s="7"/>
      <c r="O693" s="7"/>
      <c r="P693" s="7"/>
      <c r="Q693" s="21"/>
      <c r="R693" s="7"/>
      <c r="S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4"/>
      <c r="K694" s="14"/>
      <c r="L694" s="14"/>
      <c r="M694" s="7"/>
      <c r="N694" s="7"/>
      <c r="O694" s="7"/>
      <c r="P694" s="7"/>
      <c r="Q694" s="21"/>
      <c r="R694" s="7"/>
      <c r="S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4"/>
      <c r="K695" s="14"/>
      <c r="L695" s="14"/>
      <c r="M695" s="7"/>
      <c r="N695" s="7"/>
      <c r="O695" s="7"/>
      <c r="P695" s="7"/>
      <c r="Q695" s="21"/>
      <c r="R695" s="7"/>
      <c r="S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4"/>
      <c r="K696" s="14"/>
      <c r="L696" s="14"/>
      <c r="M696" s="7"/>
      <c r="N696" s="7"/>
      <c r="O696" s="7"/>
      <c r="P696" s="7"/>
      <c r="Q696" s="21"/>
      <c r="R696" s="7"/>
      <c r="S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4"/>
      <c r="K697" s="14"/>
      <c r="L697" s="14"/>
      <c r="M697" s="7"/>
      <c r="N697" s="7"/>
      <c r="O697" s="7"/>
      <c r="P697" s="7"/>
      <c r="Q697" s="21"/>
      <c r="R697" s="7"/>
      <c r="S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4"/>
      <c r="K698" s="14"/>
      <c r="L698" s="14"/>
      <c r="M698" s="7"/>
      <c r="N698" s="7"/>
      <c r="O698" s="7"/>
      <c r="P698" s="7"/>
      <c r="Q698" s="21"/>
      <c r="R698" s="7"/>
      <c r="S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4"/>
      <c r="K699" s="14"/>
      <c r="L699" s="14"/>
      <c r="M699" s="7"/>
      <c r="N699" s="7"/>
      <c r="O699" s="7"/>
      <c r="P699" s="7"/>
      <c r="Q699" s="21"/>
      <c r="R699" s="7"/>
      <c r="S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4"/>
      <c r="K700" s="14"/>
      <c r="L700" s="14"/>
      <c r="M700" s="7"/>
      <c r="N700" s="7"/>
      <c r="O700" s="7"/>
      <c r="P700" s="7"/>
      <c r="Q700" s="21"/>
      <c r="R700" s="7"/>
      <c r="S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4"/>
      <c r="K701" s="14"/>
      <c r="L701" s="14"/>
      <c r="M701" s="7"/>
      <c r="N701" s="7"/>
      <c r="O701" s="7"/>
      <c r="P701" s="7"/>
      <c r="Q701" s="21"/>
      <c r="R701" s="7"/>
      <c r="S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4"/>
      <c r="K702" s="14"/>
      <c r="L702" s="14"/>
      <c r="M702" s="7"/>
      <c r="N702" s="7"/>
      <c r="O702" s="7"/>
      <c r="P702" s="7"/>
      <c r="Q702" s="21"/>
      <c r="R702" s="7"/>
      <c r="S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4"/>
      <c r="K703" s="14"/>
      <c r="L703" s="14"/>
      <c r="M703" s="7"/>
      <c r="N703" s="7"/>
      <c r="O703" s="7"/>
      <c r="P703" s="7"/>
      <c r="Q703" s="21"/>
      <c r="R703" s="7"/>
      <c r="S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4"/>
      <c r="K704" s="14"/>
      <c r="L704" s="14"/>
      <c r="M704" s="7"/>
      <c r="N704" s="7"/>
      <c r="O704" s="7"/>
      <c r="P704" s="7"/>
      <c r="Q704" s="21"/>
      <c r="R704" s="7"/>
      <c r="S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4"/>
      <c r="K705" s="14"/>
      <c r="L705" s="14"/>
      <c r="M705" s="7"/>
      <c r="N705" s="7"/>
      <c r="O705" s="7"/>
      <c r="P705" s="7"/>
      <c r="Q705" s="21"/>
      <c r="R705" s="7"/>
      <c r="S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4"/>
      <c r="K706" s="14"/>
      <c r="L706" s="14"/>
      <c r="M706" s="7"/>
      <c r="N706" s="7"/>
      <c r="O706" s="7"/>
      <c r="P706" s="7"/>
      <c r="Q706" s="21"/>
      <c r="R706" s="7"/>
      <c r="S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4"/>
      <c r="K707" s="14"/>
      <c r="L707" s="14"/>
      <c r="M707" s="7"/>
      <c r="N707" s="7"/>
      <c r="O707" s="7"/>
      <c r="P707" s="7"/>
      <c r="Q707" s="21"/>
      <c r="R707" s="7"/>
      <c r="S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4"/>
      <c r="K708" s="14"/>
      <c r="L708" s="14"/>
      <c r="M708" s="7"/>
      <c r="N708" s="7"/>
      <c r="O708" s="7"/>
      <c r="P708" s="7"/>
      <c r="Q708" s="21"/>
      <c r="R708" s="7"/>
      <c r="S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4"/>
      <c r="K709" s="14"/>
      <c r="L709" s="14"/>
      <c r="M709" s="7"/>
      <c r="N709" s="7"/>
      <c r="O709" s="7"/>
      <c r="P709" s="7"/>
      <c r="Q709" s="21"/>
      <c r="R709" s="7"/>
      <c r="S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4"/>
      <c r="K710" s="14"/>
      <c r="L710" s="14"/>
      <c r="M710" s="7"/>
      <c r="N710" s="7"/>
      <c r="O710" s="7"/>
      <c r="P710" s="7"/>
      <c r="Q710" s="21"/>
      <c r="R710" s="7"/>
      <c r="S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4"/>
      <c r="K711" s="14"/>
      <c r="L711" s="14"/>
      <c r="M711" s="7"/>
      <c r="N711" s="7"/>
      <c r="O711" s="7"/>
      <c r="P711" s="7"/>
      <c r="Q711" s="21"/>
      <c r="R711" s="7"/>
      <c r="S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4"/>
      <c r="K712" s="14"/>
      <c r="L712" s="14"/>
      <c r="M712" s="7"/>
      <c r="N712" s="7"/>
      <c r="O712" s="7"/>
      <c r="P712" s="7"/>
      <c r="Q712" s="21"/>
      <c r="R712" s="7"/>
      <c r="S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4"/>
      <c r="K713" s="14"/>
      <c r="L713" s="14"/>
      <c r="M713" s="7"/>
      <c r="N713" s="7"/>
      <c r="O713" s="7"/>
      <c r="P713" s="7"/>
      <c r="Q713" s="21"/>
      <c r="R713" s="7"/>
      <c r="S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4"/>
      <c r="K714" s="14"/>
      <c r="L714" s="14"/>
      <c r="M714" s="7"/>
      <c r="N714" s="7"/>
      <c r="O714" s="7"/>
      <c r="P714" s="7"/>
      <c r="Q714" s="21"/>
      <c r="R714" s="7"/>
      <c r="S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4"/>
      <c r="K715" s="14"/>
      <c r="L715" s="14"/>
      <c r="M715" s="7"/>
      <c r="N715" s="7"/>
      <c r="O715" s="7"/>
      <c r="P715" s="7"/>
      <c r="Q715" s="21"/>
      <c r="R715" s="7"/>
      <c r="S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4"/>
      <c r="K716" s="14"/>
      <c r="L716" s="14"/>
      <c r="M716" s="7"/>
      <c r="N716" s="7"/>
      <c r="O716" s="7"/>
      <c r="P716" s="7"/>
      <c r="Q716" s="21"/>
      <c r="R716" s="7"/>
      <c r="S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4"/>
      <c r="K717" s="14"/>
      <c r="L717" s="14"/>
      <c r="M717" s="7"/>
      <c r="N717" s="7"/>
      <c r="O717" s="7"/>
      <c r="P717" s="7"/>
      <c r="Q717" s="21"/>
      <c r="R717" s="7"/>
      <c r="S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4"/>
      <c r="K718" s="14"/>
      <c r="L718" s="14"/>
      <c r="M718" s="7"/>
      <c r="N718" s="7"/>
      <c r="O718" s="7"/>
      <c r="P718" s="7"/>
      <c r="Q718" s="21"/>
      <c r="R718" s="7"/>
      <c r="S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4"/>
      <c r="K719" s="14"/>
      <c r="L719" s="14"/>
      <c r="M719" s="7"/>
      <c r="N719" s="7"/>
      <c r="O719" s="7"/>
      <c r="P719" s="7"/>
      <c r="Q719" s="21"/>
      <c r="R719" s="7"/>
      <c r="S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4"/>
      <c r="K720" s="14"/>
      <c r="L720" s="14"/>
      <c r="M720" s="7"/>
      <c r="N720" s="7"/>
      <c r="O720" s="7"/>
      <c r="P720" s="7"/>
      <c r="Q720" s="21"/>
      <c r="R720" s="7"/>
      <c r="S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4"/>
      <c r="K721" s="14"/>
      <c r="L721" s="14"/>
      <c r="M721" s="7"/>
      <c r="N721" s="7"/>
      <c r="O721" s="7"/>
      <c r="P721" s="7"/>
      <c r="Q721" s="21"/>
      <c r="R721" s="7"/>
      <c r="S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4"/>
      <c r="K722" s="14"/>
      <c r="L722" s="14"/>
      <c r="M722" s="7"/>
      <c r="N722" s="7"/>
      <c r="O722" s="7"/>
      <c r="P722" s="7"/>
      <c r="Q722" s="21"/>
      <c r="R722" s="7"/>
      <c r="S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4"/>
      <c r="K723" s="14"/>
      <c r="L723" s="14"/>
      <c r="M723" s="7"/>
      <c r="N723" s="7"/>
      <c r="O723" s="7"/>
      <c r="P723" s="7"/>
      <c r="Q723" s="21"/>
      <c r="R723" s="7"/>
      <c r="S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4"/>
      <c r="K724" s="14"/>
      <c r="L724" s="14"/>
      <c r="M724" s="7"/>
      <c r="N724" s="7"/>
      <c r="O724" s="7"/>
      <c r="P724" s="7"/>
      <c r="Q724" s="21"/>
      <c r="R724" s="7"/>
      <c r="S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4"/>
      <c r="K725" s="14"/>
      <c r="L725" s="14"/>
      <c r="M725" s="7"/>
      <c r="N725" s="7"/>
      <c r="O725" s="7"/>
      <c r="P725" s="7"/>
      <c r="Q725" s="21"/>
      <c r="R725" s="7"/>
      <c r="S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4"/>
      <c r="K726" s="14"/>
      <c r="L726" s="14"/>
      <c r="M726" s="7"/>
      <c r="N726" s="7"/>
      <c r="O726" s="7"/>
      <c r="P726" s="7"/>
      <c r="Q726" s="21"/>
      <c r="R726" s="7"/>
      <c r="S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4"/>
      <c r="K727" s="14"/>
      <c r="L727" s="14"/>
      <c r="M727" s="7"/>
      <c r="N727" s="7"/>
      <c r="O727" s="7"/>
      <c r="P727" s="7"/>
      <c r="Q727" s="21"/>
      <c r="R727" s="7"/>
      <c r="S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4"/>
      <c r="K728" s="14"/>
      <c r="L728" s="14"/>
      <c r="M728" s="7"/>
      <c r="N728" s="7"/>
      <c r="O728" s="7"/>
      <c r="P728" s="7"/>
      <c r="Q728" s="21"/>
      <c r="R728" s="7"/>
      <c r="S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4"/>
      <c r="K729" s="14"/>
      <c r="L729" s="14"/>
      <c r="M729" s="7"/>
      <c r="N729" s="7"/>
      <c r="O729" s="7"/>
      <c r="P729" s="7"/>
      <c r="Q729" s="21"/>
      <c r="R729" s="7"/>
      <c r="S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4"/>
      <c r="K730" s="14"/>
      <c r="L730" s="14"/>
      <c r="M730" s="7"/>
      <c r="N730" s="7"/>
      <c r="O730" s="7"/>
      <c r="P730" s="7"/>
      <c r="Q730" s="21"/>
      <c r="R730" s="7"/>
      <c r="S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4"/>
      <c r="K731" s="14"/>
      <c r="L731" s="14"/>
      <c r="M731" s="7"/>
      <c r="N731" s="7"/>
      <c r="O731" s="7"/>
      <c r="P731" s="7"/>
      <c r="Q731" s="21"/>
      <c r="R731" s="7"/>
      <c r="S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4"/>
      <c r="K732" s="14"/>
      <c r="L732" s="14"/>
      <c r="M732" s="7"/>
      <c r="N732" s="7"/>
      <c r="O732" s="7"/>
      <c r="P732" s="7"/>
      <c r="Q732" s="21"/>
      <c r="R732" s="7"/>
      <c r="S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4"/>
      <c r="K733" s="14"/>
      <c r="L733" s="14"/>
      <c r="M733" s="7"/>
      <c r="N733" s="7"/>
      <c r="O733" s="7"/>
      <c r="P733" s="7"/>
      <c r="Q733" s="21"/>
      <c r="R733" s="7"/>
      <c r="S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4"/>
      <c r="K734" s="14"/>
      <c r="L734" s="14"/>
      <c r="M734" s="7"/>
      <c r="N734" s="7"/>
      <c r="O734" s="7"/>
      <c r="P734" s="7"/>
      <c r="Q734" s="21"/>
      <c r="R734" s="7"/>
      <c r="S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4"/>
      <c r="K735" s="14"/>
      <c r="L735" s="14"/>
      <c r="M735" s="7"/>
      <c r="N735" s="7"/>
      <c r="O735" s="7"/>
      <c r="P735" s="7"/>
      <c r="Q735" s="21"/>
      <c r="R735" s="7"/>
      <c r="S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4"/>
      <c r="K736" s="14"/>
      <c r="L736" s="14"/>
      <c r="M736" s="7"/>
      <c r="N736" s="7"/>
      <c r="O736" s="7"/>
      <c r="P736" s="7"/>
      <c r="Q736" s="21"/>
      <c r="R736" s="7"/>
      <c r="S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4"/>
      <c r="K737" s="14"/>
      <c r="L737" s="14"/>
      <c r="M737" s="7"/>
      <c r="N737" s="7"/>
      <c r="O737" s="7"/>
      <c r="P737" s="7"/>
      <c r="Q737" s="21"/>
      <c r="R737" s="7"/>
      <c r="S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4"/>
      <c r="K738" s="14"/>
      <c r="L738" s="14"/>
      <c r="M738" s="7"/>
      <c r="N738" s="7"/>
      <c r="O738" s="7"/>
      <c r="P738" s="7"/>
      <c r="Q738" s="21"/>
      <c r="R738" s="7"/>
      <c r="S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4"/>
      <c r="K739" s="14"/>
      <c r="L739" s="14"/>
      <c r="M739" s="7"/>
      <c r="N739" s="7"/>
      <c r="O739" s="7"/>
      <c r="P739" s="7"/>
      <c r="Q739" s="21"/>
      <c r="R739" s="7"/>
      <c r="S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4"/>
      <c r="K740" s="14"/>
      <c r="L740" s="14"/>
      <c r="M740" s="7"/>
      <c r="N740" s="7"/>
      <c r="O740" s="7"/>
      <c r="P740" s="7"/>
      <c r="Q740" s="21"/>
      <c r="R740" s="7"/>
      <c r="S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4"/>
      <c r="K741" s="14"/>
      <c r="L741" s="14"/>
      <c r="M741" s="7"/>
      <c r="N741" s="7"/>
      <c r="O741" s="7"/>
      <c r="P741" s="7"/>
      <c r="Q741" s="21"/>
      <c r="R741" s="7"/>
      <c r="S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4"/>
      <c r="K742" s="14"/>
      <c r="L742" s="14"/>
      <c r="M742" s="7"/>
      <c r="N742" s="7"/>
      <c r="O742" s="7"/>
      <c r="P742" s="7"/>
      <c r="Q742" s="21"/>
      <c r="R742" s="7"/>
      <c r="S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4"/>
      <c r="K743" s="14"/>
      <c r="L743" s="14"/>
      <c r="M743" s="7"/>
      <c r="N743" s="7"/>
      <c r="O743" s="7"/>
      <c r="P743" s="7"/>
      <c r="Q743" s="21"/>
      <c r="R743" s="7"/>
      <c r="S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4"/>
      <c r="K744" s="14"/>
      <c r="L744" s="14"/>
      <c r="M744" s="7"/>
      <c r="N744" s="7"/>
      <c r="O744" s="7"/>
      <c r="P744" s="7"/>
      <c r="Q744" s="21"/>
      <c r="R744" s="7"/>
      <c r="S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4"/>
      <c r="K745" s="14"/>
      <c r="L745" s="14"/>
      <c r="M745" s="7"/>
      <c r="N745" s="7"/>
      <c r="O745" s="7"/>
      <c r="P745" s="7"/>
      <c r="Q745" s="21"/>
      <c r="R745" s="7"/>
      <c r="S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4"/>
      <c r="K746" s="14"/>
      <c r="L746" s="14"/>
      <c r="M746" s="7"/>
      <c r="N746" s="7"/>
      <c r="O746" s="7"/>
      <c r="P746" s="7"/>
      <c r="Q746" s="21"/>
      <c r="R746" s="7"/>
      <c r="S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4"/>
      <c r="K747" s="14"/>
      <c r="L747" s="14"/>
      <c r="M747" s="7"/>
      <c r="N747" s="7"/>
      <c r="O747" s="7"/>
      <c r="P747" s="7"/>
      <c r="Q747" s="21"/>
      <c r="R747" s="7"/>
      <c r="S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4"/>
      <c r="K748" s="14"/>
      <c r="L748" s="14"/>
      <c r="M748" s="7"/>
      <c r="N748" s="7"/>
      <c r="O748" s="7"/>
      <c r="P748" s="7"/>
      <c r="Q748" s="21"/>
      <c r="R748" s="7"/>
      <c r="S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4"/>
      <c r="K749" s="14"/>
      <c r="L749" s="14"/>
      <c r="M749" s="7"/>
      <c r="N749" s="7"/>
      <c r="O749" s="7"/>
      <c r="P749" s="7"/>
      <c r="Q749" s="21"/>
      <c r="R749" s="7"/>
      <c r="S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4"/>
      <c r="K750" s="14"/>
      <c r="L750" s="14"/>
      <c r="M750" s="7"/>
      <c r="N750" s="7"/>
      <c r="O750" s="7"/>
      <c r="P750" s="7"/>
      <c r="Q750" s="21"/>
      <c r="R750" s="7"/>
      <c r="S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4"/>
      <c r="K751" s="14"/>
      <c r="L751" s="14"/>
      <c r="M751" s="7"/>
      <c r="N751" s="7"/>
      <c r="O751" s="7"/>
      <c r="P751" s="7"/>
      <c r="Q751" s="21"/>
      <c r="R751" s="7"/>
      <c r="S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4"/>
      <c r="K752" s="14"/>
      <c r="L752" s="14"/>
      <c r="M752" s="7"/>
      <c r="N752" s="7"/>
      <c r="O752" s="7"/>
      <c r="P752" s="7"/>
      <c r="Q752" s="21"/>
      <c r="R752" s="7"/>
      <c r="S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4"/>
      <c r="K753" s="14"/>
      <c r="L753" s="14"/>
      <c r="M753" s="7"/>
      <c r="N753" s="7"/>
      <c r="O753" s="7"/>
      <c r="P753" s="7"/>
      <c r="Q753" s="21"/>
      <c r="R753" s="7"/>
      <c r="S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4"/>
      <c r="K754" s="14"/>
      <c r="L754" s="14"/>
      <c r="M754" s="7"/>
      <c r="N754" s="7"/>
      <c r="O754" s="7"/>
      <c r="P754" s="7"/>
      <c r="Q754" s="21"/>
      <c r="R754" s="7"/>
      <c r="S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4"/>
      <c r="K755" s="14"/>
      <c r="L755" s="14"/>
      <c r="M755" s="7"/>
      <c r="N755" s="7"/>
      <c r="O755" s="7"/>
      <c r="P755" s="7"/>
      <c r="Q755" s="21"/>
      <c r="R755" s="7"/>
      <c r="S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4"/>
      <c r="K756" s="14"/>
      <c r="L756" s="14"/>
      <c r="M756" s="7"/>
      <c r="N756" s="7"/>
      <c r="O756" s="7"/>
      <c r="P756" s="7"/>
      <c r="Q756" s="21"/>
      <c r="R756" s="7"/>
      <c r="S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4"/>
      <c r="K757" s="14"/>
      <c r="L757" s="14"/>
      <c r="M757" s="7"/>
      <c r="N757" s="7"/>
      <c r="O757" s="7"/>
      <c r="P757" s="7"/>
      <c r="Q757" s="21"/>
      <c r="R757" s="7"/>
      <c r="S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4"/>
      <c r="K758" s="14"/>
      <c r="L758" s="14"/>
      <c r="M758" s="7"/>
      <c r="N758" s="7"/>
      <c r="O758" s="7"/>
      <c r="P758" s="7"/>
      <c r="Q758" s="21"/>
      <c r="R758" s="7"/>
      <c r="S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4"/>
      <c r="K759" s="14"/>
      <c r="L759" s="14"/>
      <c r="M759" s="7"/>
      <c r="N759" s="7"/>
      <c r="O759" s="7"/>
      <c r="P759" s="7"/>
      <c r="Q759" s="21"/>
      <c r="R759" s="7"/>
      <c r="S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4"/>
      <c r="K760" s="14"/>
      <c r="L760" s="14"/>
      <c r="M760" s="7"/>
      <c r="N760" s="7"/>
      <c r="O760" s="7"/>
      <c r="P760" s="7"/>
      <c r="Q760" s="21"/>
      <c r="R760" s="7"/>
      <c r="S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4"/>
      <c r="K761" s="14"/>
      <c r="L761" s="14"/>
      <c r="M761" s="7"/>
      <c r="N761" s="7"/>
      <c r="O761" s="7"/>
      <c r="P761" s="7"/>
      <c r="Q761" s="21"/>
      <c r="R761" s="7"/>
      <c r="S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4"/>
      <c r="K762" s="14"/>
      <c r="L762" s="14"/>
      <c r="M762" s="7"/>
      <c r="N762" s="7"/>
      <c r="O762" s="7"/>
      <c r="P762" s="7"/>
      <c r="Q762" s="21"/>
      <c r="R762" s="7"/>
      <c r="S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4"/>
      <c r="K763" s="14"/>
      <c r="L763" s="14"/>
      <c r="M763" s="7"/>
      <c r="N763" s="7"/>
      <c r="O763" s="7"/>
      <c r="P763" s="7"/>
      <c r="Q763" s="21"/>
      <c r="R763" s="7"/>
      <c r="S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4"/>
      <c r="K764" s="14"/>
      <c r="L764" s="14"/>
      <c r="M764" s="7"/>
      <c r="N764" s="7"/>
      <c r="O764" s="7"/>
      <c r="P764" s="7"/>
      <c r="Q764" s="21"/>
      <c r="R764" s="7"/>
      <c r="S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4"/>
      <c r="K765" s="14"/>
      <c r="L765" s="14"/>
      <c r="M765" s="7"/>
      <c r="N765" s="7"/>
      <c r="O765" s="7"/>
      <c r="P765" s="7"/>
      <c r="Q765" s="21"/>
      <c r="R765" s="7"/>
      <c r="S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4"/>
      <c r="K766" s="14"/>
      <c r="L766" s="14"/>
      <c r="M766" s="7"/>
      <c r="N766" s="7"/>
      <c r="O766" s="7"/>
      <c r="P766" s="7"/>
      <c r="Q766" s="21"/>
      <c r="R766" s="7"/>
      <c r="S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4"/>
      <c r="K767" s="14"/>
      <c r="L767" s="14"/>
      <c r="M767" s="7"/>
      <c r="N767" s="7"/>
      <c r="O767" s="7"/>
      <c r="P767" s="7"/>
      <c r="Q767" s="21"/>
      <c r="R767" s="7"/>
      <c r="S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4"/>
      <c r="K768" s="14"/>
      <c r="L768" s="14"/>
      <c r="M768" s="7"/>
      <c r="N768" s="7"/>
      <c r="O768" s="7"/>
      <c r="P768" s="7"/>
      <c r="Q768" s="21"/>
      <c r="R768" s="7"/>
      <c r="S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4"/>
      <c r="K769" s="14"/>
      <c r="L769" s="14"/>
      <c r="M769" s="7"/>
      <c r="N769" s="7"/>
      <c r="O769" s="7"/>
      <c r="P769" s="7"/>
      <c r="Q769" s="21"/>
      <c r="R769" s="7"/>
      <c r="S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4"/>
      <c r="K770" s="14"/>
      <c r="L770" s="14"/>
      <c r="M770" s="7"/>
      <c r="N770" s="7"/>
      <c r="O770" s="7"/>
      <c r="P770" s="7"/>
      <c r="Q770" s="21"/>
      <c r="R770" s="7"/>
      <c r="S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4"/>
      <c r="K771" s="14"/>
      <c r="L771" s="14"/>
      <c r="M771" s="7"/>
      <c r="N771" s="7"/>
      <c r="O771" s="7"/>
      <c r="P771" s="7"/>
      <c r="Q771" s="21"/>
      <c r="R771" s="7"/>
      <c r="S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4"/>
      <c r="K772" s="14"/>
      <c r="L772" s="14"/>
      <c r="M772" s="7"/>
      <c r="N772" s="7"/>
      <c r="O772" s="7"/>
      <c r="P772" s="7"/>
      <c r="Q772" s="21"/>
      <c r="R772" s="7"/>
      <c r="S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4"/>
      <c r="K773" s="14"/>
      <c r="L773" s="14"/>
      <c r="M773" s="7"/>
      <c r="N773" s="7"/>
      <c r="O773" s="7"/>
      <c r="P773" s="7"/>
      <c r="Q773" s="21"/>
      <c r="R773" s="7"/>
      <c r="S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4"/>
      <c r="K774" s="14"/>
      <c r="L774" s="14"/>
      <c r="M774" s="7"/>
      <c r="N774" s="7"/>
      <c r="O774" s="7"/>
      <c r="P774" s="7"/>
      <c r="Q774" s="21"/>
      <c r="R774" s="7"/>
      <c r="S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4"/>
      <c r="K775" s="14"/>
      <c r="L775" s="14"/>
      <c r="M775" s="7"/>
      <c r="N775" s="7"/>
      <c r="O775" s="7"/>
      <c r="P775" s="7"/>
      <c r="Q775" s="21"/>
      <c r="R775" s="7"/>
      <c r="S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4"/>
      <c r="K776" s="14"/>
      <c r="L776" s="14"/>
      <c r="M776" s="7"/>
      <c r="N776" s="7"/>
      <c r="O776" s="7"/>
      <c r="P776" s="7"/>
      <c r="Q776" s="21"/>
      <c r="R776" s="7"/>
      <c r="S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4"/>
      <c r="K777" s="14"/>
      <c r="L777" s="14"/>
      <c r="M777" s="7"/>
      <c r="N777" s="7"/>
      <c r="O777" s="7"/>
      <c r="P777" s="7"/>
      <c r="Q777" s="21"/>
      <c r="R777" s="7"/>
      <c r="S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4"/>
      <c r="K778" s="14"/>
      <c r="L778" s="14"/>
      <c r="M778" s="7"/>
      <c r="N778" s="7"/>
      <c r="O778" s="7"/>
      <c r="P778" s="7"/>
      <c r="Q778" s="21"/>
      <c r="R778" s="7"/>
      <c r="S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4"/>
      <c r="K779" s="14"/>
      <c r="L779" s="14"/>
      <c r="M779" s="7"/>
      <c r="N779" s="7"/>
      <c r="O779" s="7"/>
      <c r="P779" s="7"/>
      <c r="Q779" s="21"/>
      <c r="R779" s="7"/>
      <c r="S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4"/>
      <c r="K780" s="14"/>
      <c r="L780" s="14"/>
      <c r="M780" s="7"/>
      <c r="N780" s="7"/>
      <c r="O780" s="7"/>
      <c r="P780" s="7"/>
      <c r="Q780" s="21"/>
      <c r="R780" s="7"/>
      <c r="S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4"/>
      <c r="K781" s="14"/>
      <c r="L781" s="14"/>
      <c r="M781" s="7"/>
      <c r="N781" s="7"/>
      <c r="O781" s="7"/>
      <c r="P781" s="7"/>
      <c r="Q781" s="21"/>
      <c r="R781" s="7"/>
      <c r="S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4"/>
      <c r="K782" s="14"/>
      <c r="L782" s="14"/>
      <c r="M782" s="7"/>
      <c r="N782" s="7"/>
      <c r="O782" s="7"/>
      <c r="P782" s="7"/>
      <c r="Q782" s="21"/>
      <c r="R782" s="7"/>
      <c r="S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4"/>
      <c r="K783" s="14"/>
      <c r="L783" s="14"/>
      <c r="M783" s="7"/>
      <c r="N783" s="7"/>
      <c r="O783" s="7"/>
      <c r="P783" s="7"/>
      <c r="Q783" s="21"/>
      <c r="R783" s="7"/>
      <c r="S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4"/>
      <c r="K784" s="14"/>
      <c r="L784" s="14"/>
      <c r="M784" s="7"/>
      <c r="N784" s="7"/>
      <c r="O784" s="7"/>
      <c r="P784" s="7"/>
      <c r="Q784" s="21"/>
      <c r="R784" s="7"/>
      <c r="S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4"/>
      <c r="K785" s="14"/>
      <c r="L785" s="14"/>
      <c r="M785" s="7"/>
      <c r="N785" s="7"/>
      <c r="O785" s="7"/>
      <c r="P785" s="7"/>
      <c r="Q785" s="21"/>
      <c r="R785" s="7"/>
      <c r="S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4"/>
      <c r="K786" s="14"/>
      <c r="L786" s="14"/>
      <c r="M786" s="7"/>
      <c r="N786" s="7"/>
      <c r="O786" s="7"/>
      <c r="P786" s="7"/>
      <c r="Q786" s="21"/>
      <c r="R786" s="7"/>
      <c r="S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4"/>
      <c r="K787" s="14"/>
      <c r="L787" s="14"/>
      <c r="M787" s="7"/>
      <c r="N787" s="7"/>
      <c r="O787" s="7"/>
      <c r="P787" s="7"/>
      <c r="Q787" s="21"/>
      <c r="R787" s="7"/>
      <c r="S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4"/>
      <c r="K788" s="14"/>
      <c r="L788" s="14"/>
      <c r="M788" s="7"/>
      <c r="N788" s="7"/>
      <c r="O788" s="7"/>
      <c r="P788" s="7"/>
      <c r="Q788" s="21"/>
      <c r="R788" s="7"/>
      <c r="S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4"/>
      <c r="K789" s="14"/>
      <c r="L789" s="14"/>
      <c r="M789" s="7"/>
      <c r="N789" s="7"/>
      <c r="O789" s="7"/>
      <c r="P789" s="7"/>
      <c r="Q789" s="21"/>
      <c r="R789" s="7"/>
      <c r="S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4"/>
      <c r="K790" s="14"/>
      <c r="L790" s="14"/>
      <c r="M790" s="7"/>
      <c r="N790" s="7"/>
      <c r="O790" s="7"/>
      <c r="P790" s="7"/>
      <c r="Q790" s="21"/>
      <c r="R790" s="7"/>
      <c r="S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4"/>
      <c r="K791" s="14"/>
      <c r="L791" s="14"/>
      <c r="M791" s="7"/>
      <c r="N791" s="7"/>
      <c r="O791" s="7"/>
      <c r="P791" s="7"/>
      <c r="Q791" s="21"/>
      <c r="R791" s="7"/>
      <c r="S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4"/>
      <c r="K792" s="14"/>
      <c r="L792" s="14"/>
      <c r="M792" s="7"/>
      <c r="N792" s="7"/>
      <c r="O792" s="7"/>
      <c r="P792" s="7"/>
      <c r="Q792" s="21"/>
      <c r="R792" s="7"/>
      <c r="S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4"/>
      <c r="K793" s="14"/>
      <c r="L793" s="14"/>
      <c r="M793" s="7"/>
      <c r="N793" s="7"/>
      <c r="O793" s="7"/>
      <c r="P793" s="7"/>
      <c r="Q793" s="21"/>
      <c r="R793" s="7"/>
      <c r="S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4"/>
      <c r="K794" s="14"/>
      <c r="L794" s="14"/>
      <c r="M794" s="7"/>
      <c r="N794" s="7"/>
      <c r="O794" s="7"/>
      <c r="P794" s="7"/>
      <c r="Q794" s="21"/>
      <c r="R794" s="7"/>
      <c r="S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4"/>
      <c r="K795" s="14"/>
      <c r="L795" s="14"/>
      <c r="M795" s="7"/>
      <c r="N795" s="7"/>
      <c r="O795" s="7"/>
      <c r="P795" s="7"/>
      <c r="Q795" s="21"/>
      <c r="R795" s="7"/>
      <c r="S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4"/>
      <c r="K796" s="14"/>
      <c r="L796" s="14"/>
      <c r="M796" s="7"/>
      <c r="N796" s="7"/>
      <c r="O796" s="7"/>
      <c r="P796" s="7"/>
      <c r="Q796" s="21"/>
      <c r="R796" s="7"/>
      <c r="S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4"/>
      <c r="K797" s="14"/>
      <c r="L797" s="14"/>
      <c r="M797" s="7"/>
      <c r="N797" s="7"/>
      <c r="O797" s="7"/>
      <c r="P797" s="7"/>
      <c r="Q797" s="21"/>
      <c r="R797" s="7"/>
      <c r="S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4"/>
      <c r="K798" s="14"/>
      <c r="L798" s="14"/>
      <c r="M798" s="7"/>
      <c r="N798" s="7"/>
      <c r="O798" s="7"/>
      <c r="P798" s="7"/>
      <c r="Q798" s="21"/>
      <c r="R798" s="7"/>
      <c r="S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4"/>
      <c r="K799" s="14"/>
      <c r="L799" s="14"/>
      <c r="M799" s="7"/>
      <c r="N799" s="7"/>
      <c r="O799" s="7"/>
      <c r="P799" s="7"/>
      <c r="Q799" s="21"/>
      <c r="R799" s="7"/>
      <c r="S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4"/>
      <c r="K800" s="14"/>
      <c r="L800" s="14"/>
      <c r="M800" s="7"/>
      <c r="N800" s="7"/>
      <c r="O800" s="7"/>
      <c r="P800" s="7"/>
      <c r="Q800" s="21"/>
      <c r="R800" s="7"/>
      <c r="S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4"/>
      <c r="K801" s="14"/>
      <c r="L801" s="14"/>
      <c r="M801" s="7"/>
      <c r="N801" s="7"/>
      <c r="O801" s="7"/>
      <c r="P801" s="7"/>
      <c r="Q801" s="21"/>
      <c r="R801" s="7"/>
      <c r="S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4"/>
      <c r="K802" s="14"/>
      <c r="L802" s="14"/>
      <c r="M802" s="7"/>
      <c r="N802" s="7"/>
      <c r="O802" s="7"/>
      <c r="P802" s="7"/>
      <c r="Q802" s="21"/>
      <c r="R802" s="7"/>
      <c r="S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4"/>
      <c r="K803" s="14"/>
      <c r="L803" s="14"/>
      <c r="M803" s="7"/>
      <c r="N803" s="7"/>
      <c r="O803" s="7"/>
      <c r="P803" s="7"/>
      <c r="Q803" s="21"/>
      <c r="R803" s="7"/>
      <c r="S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4"/>
      <c r="K804" s="14"/>
      <c r="L804" s="14"/>
      <c r="M804" s="7"/>
      <c r="N804" s="7"/>
      <c r="O804" s="7"/>
      <c r="P804" s="7"/>
      <c r="Q804" s="21"/>
      <c r="R804" s="7"/>
      <c r="S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4"/>
      <c r="K805" s="14"/>
      <c r="L805" s="14"/>
      <c r="M805" s="7"/>
      <c r="N805" s="7"/>
      <c r="O805" s="7"/>
      <c r="P805" s="7"/>
      <c r="Q805" s="21"/>
      <c r="R805" s="7"/>
      <c r="S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4"/>
      <c r="K806" s="14"/>
      <c r="L806" s="14"/>
      <c r="M806" s="7"/>
      <c r="N806" s="7"/>
      <c r="O806" s="7"/>
      <c r="P806" s="7"/>
      <c r="Q806" s="21"/>
      <c r="R806" s="7"/>
      <c r="S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4"/>
      <c r="K807" s="14"/>
      <c r="L807" s="14"/>
      <c r="M807" s="7"/>
      <c r="N807" s="7"/>
      <c r="O807" s="7"/>
      <c r="P807" s="7"/>
      <c r="Q807" s="21"/>
      <c r="R807" s="7"/>
      <c r="S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4"/>
      <c r="K808" s="14"/>
      <c r="L808" s="14"/>
      <c r="M808" s="7"/>
      <c r="N808" s="7"/>
      <c r="O808" s="7"/>
      <c r="P808" s="7"/>
      <c r="Q808" s="21"/>
      <c r="R808" s="7"/>
      <c r="S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4"/>
      <c r="K809" s="14"/>
      <c r="L809" s="14"/>
      <c r="M809" s="7"/>
      <c r="N809" s="7"/>
      <c r="O809" s="7"/>
      <c r="P809" s="7"/>
      <c r="Q809" s="21"/>
      <c r="R809" s="7"/>
      <c r="S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4"/>
      <c r="K810" s="14"/>
      <c r="L810" s="14"/>
      <c r="M810" s="7"/>
      <c r="N810" s="7"/>
      <c r="O810" s="7"/>
      <c r="P810" s="7"/>
      <c r="Q810" s="21"/>
      <c r="R810" s="7"/>
      <c r="S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4"/>
      <c r="K811" s="14"/>
      <c r="L811" s="14"/>
      <c r="M811" s="7"/>
      <c r="N811" s="7"/>
      <c r="O811" s="7"/>
      <c r="P811" s="7"/>
      <c r="Q811" s="21"/>
      <c r="R811" s="7"/>
      <c r="S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4"/>
      <c r="K812" s="14"/>
      <c r="L812" s="14"/>
      <c r="M812" s="7"/>
      <c r="N812" s="7"/>
      <c r="O812" s="7"/>
      <c r="P812" s="7"/>
      <c r="Q812" s="21"/>
      <c r="R812" s="7"/>
      <c r="S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4"/>
      <c r="K813" s="14"/>
      <c r="L813" s="14"/>
      <c r="M813" s="7"/>
      <c r="N813" s="7"/>
      <c r="O813" s="7"/>
      <c r="P813" s="7"/>
      <c r="Q813" s="21"/>
      <c r="R813" s="7"/>
      <c r="S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4"/>
      <c r="K814" s="14"/>
      <c r="L814" s="14"/>
      <c r="M814" s="7"/>
      <c r="N814" s="7"/>
      <c r="O814" s="7"/>
      <c r="P814" s="7"/>
      <c r="Q814" s="21"/>
      <c r="R814" s="7"/>
      <c r="S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4"/>
      <c r="K815" s="14"/>
      <c r="L815" s="14"/>
      <c r="M815" s="7"/>
      <c r="N815" s="7"/>
      <c r="O815" s="7"/>
      <c r="P815" s="7"/>
      <c r="Q815" s="21"/>
      <c r="R815" s="7"/>
      <c r="S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4"/>
      <c r="K816" s="14"/>
      <c r="L816" s="14"/>
      <c r="M816" s="7"/>
      <c r="N816" s="7"/>
      <c r="O816" s="7"/>
      <c r="P816" s="7"/>
      <c r="Q816" s="21"/>
      <c r="R816" s="7"/>
      <c r="S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4"/>
      <c r="K817" s="14"/>
      <c r="L817" s="14"/>
      <c r="M817" s="7"/>
      <c r="N817" s="7"/>
      <c r="O817" s="7"/>
      <c r="P817" s="7"/>
      <c r="Q817" s="21"/>
      <c r="R817" s="7"/>
      <c r="S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4"/>
      <c r="K818" s="14"/>
      <c r="L818" s="14"/>
      <c r="M818" s="7"/>
      <c r="N818" s="7"/>
      <c r="O818" s="7"/>
      <c r="P818" s="7"/>
      <c r="Q818" s="21"/>
      <c r="R818" s="7"/>
      <c r="S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4"/>
      <c r="K819" s="14"/>
      <c r="L819" s="14"/>
      <c r="M819" s="7"/>
      <c r="N819" s="7"/>
      <c r="O819" s="7"/>
      <c r="P819" s="7"/>
      <c r="Q819" s="21"/>
      <c r="R819" s="7"/>
      <c r="S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4"/>
      <c r="K820" s="14"/>
      <c r="L820" s="14"/>
      <c r="M820" s="7"/>
      <c r="N820" s="7"/>
      <c r="O820" s="7"/>
      <c r="P820" s="7"/>
      <c r="Q820" s="21"/>
      <c r="R820" s="7"/>
      <c r="S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4"/>
      <c r="K821" s="14"/>
      <c r="L821" s="14"/>
      <c r="M821" s="7"/>
      <c r="N821" s="7"/>
      <c r="O821" s="7"/>
      <c r="P821" s="7"/>
      <c r="Q821" s="21"/>
      <c r="R821" s="7"/>
      <c r="S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4"/>
      <c r="K822" s="14"/>
      <c r="L822" s="14"/>
      <c r="M822" s="7"/>
      <c r="N822" s="7"/>
      <c r="O822" s="7"/>
      <c r="P822" s="7"/>
      <c r="Q822" s="21"/>
      <c r="R822" s="7"/>
      <c r="S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4"/>
      <c r="K823" s="14"/>
      <c r="L823" s="14"/>
      <c r="M823" s="7"/>
      <c r="N823" s="7"/>
      <c r="O823" s="7"/>
      <c r="P823" s="7"/>
      <c r="Q823" s="21"/>
      <c r="R823" s="7"/>
      <c r="S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4"/>
      <c r="K824" s="14"/>
      <c r="L824" s="14"/>
      <c r="M824" s="7"/>
      <c r="N824" s="7"/>
      <c r="O824" s="7"/>
      <c r="P824" s="7"/>
      <c r="Q824" s="21"/>
      <c r="R824" s="7"/>
      <c r="S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4"/>
      <c r="K825" s="14"/>
      <c r="L825" s="14"/>
      <c r="M825" s="7"/>
      <c r="N825" s="7"/>
      <c r="O825" s="7"/>
      <c r="P825" s="7"/>
      <c r="Q825" s="21"/>
      <c r="R825" s="7"/>
      <c r="S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4"/>
      <c r="K826" s="14"/>
      <c r="L826" s="14"/>
      <c r="M826" s="7"/>
      <c r="N826" s="7"/>
      <c r="O826" s="7"/>
      <c r="P826" s="7"/>
      <c r="Q826" s="21"/>
      <c r="R826" s="7"/>
      <c r="S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4"/>
      <c r="K827" s="14"/>
      <c r="L827" s="14"/>
      <c r="M827" s="7"/>
      <c r="N827" s="7"/>
      <c r="O827" s="7"/>
      <c r="P827" s="7"/>
      <c r="Q827" s="21"/>
      <c r="R827" s="7"/>
      <c r="S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4"/>
      <c r="K828" s="14"/>
      <c r="L828" s="14"/>
      <c r="M828" s="7"/>
      <c r="N828" s="7"/>
      <c r="O828" s="7"/>
      <c r="P828" s="7"/>
      <c r="Q828" s="21"/>
      <c r="R828" s="7"/>
      <c r="S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4"/>
      <c r="K829" s="14"/>
      <c r="L829" s="14"/>
      <c r="M829" s="7"/>
      <c r="N829" s="7"/>
      <c r="O829" s="7"/>
      <c r="P829" s="7"/>
      <c r="Q829" s="21"/>
      <c r="R829" s="7"/>
      <c r="S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4"/>
      <c r="K830" s="14"/>
      <c r="L830" s="14"/>
      <c r="M830" s="7"/>
      <c r="N830" s="7"/>
      <c r="O830" s="7"/>
      <c r="P830" s="7"/>
      <c r="Q830" s="21"/>
      <c r="R830" s="7"/>
      <c r="S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4"/>
      <c r="K831" s="14"/>
      <c r="L831" s="14"/>
      <c r="M831" s="7"/>
      <c r="N831" s="7"/>
      <c r="O831" s="7"/>
      <c r="P831" s="7"/>
      <c r="Q831" s="21"/>
      <c r="R831" s="7"/>
      <c r="S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4"/>
      <c r="K832" s="14"/>
      <c r="L832" s="14"/>
      <c r="M832" s="7"/>
      <c r="N832" s="7"/>
      <c r="O832" s="7"/>
      <c r="P832" s="7"/>
      <c r="Q832" s="21"/>
      <c r="R832" s="7"/>
      <c r="S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4"/>
      <c r="K833" s="14"/>
      <c r="L833" s="14"/>
      <c r="M833" s="7"/>
      <c r="N833" s="7"/>
      <c r="O833" s="7"/>
      <c r="P833" s="7"/>
      <c r="Q833" s="21"/>
      <c r="R833" s="7"/>
      <c r="S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4"/>
      <c r="K834" s="14"/>
      <c r="L834" s="14"/>
      <c r="M834" s="7"/>
      <c r="N834" s="7"/>
      <c r="O834" s="7"/>
      <c r="P834" s="7"/>
      <c r="Q834" s="21"/>
      <c r="R834" s="7"/>
      <c r="S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4"/>
      <c r="K835" s="14"/>
      <c r="L835" s="14"/>
      <c r="M835" s="7"/>
      <c r="N835" s="7"/>
      <c r="O835" s="7"/>
      <c r="P835" s="7"/>
      <c r="Q835" s="21"/>
      <c r="R835" s="7"/>
      <c r="S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4"/>
      <c r="K836" s="14"/>
      <c r="L836" s="14"/>
      <c r="M836" s="7"/>
      <c r="N836" s="7"/>
      <c r="O836" s="7"/>
      <c r="P836" s="7"/>
      <c r="Q836" s="21"/>
      <c r="R836" s="7"/>
      <c r="S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4"/>
      <c r="K837" s="14"/>
      <c r="L837" s="14"/>
      <c r="M837" s="7"/>
      <c r="N837" s="7"/>
      <c r="O837" s="7"/>
      <c r="P837" s="7"/>
      <c r="Q837" s="21"/>
      <c r="R837" s="7"/>
      <c r="S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4"/>
      <c r="K838" s="14"/>
      <c r="L838" s="14"/>
      <c r="M838" s="7"/>
      <c r="N838" s="7"/>
      <c r="O838" s="7"/>
      <c r="P838" s="7"/>
      <c r="Q838" s="21"/>
      <c r="R838" s="7"/>
      <c r="S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4"/>
      <c r="K839" s="14"/>
      <c r="L839" s="14"/>
      <c r="M839" s="7"/>
      <c r="N839" s="7"/>
      <c r="O839" s="7"/>
      <c r="P839" s="7"/>
      <c r="Q839" s="21"/>
      <c r="R839" s="7"/>
      <c r="S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4"/>
      <c r="K840" s="14"/>
      <c r="L840" s="14"/>
      <c r="M840" s="7"/>
      <c r="N840" s="7"/>
      <c r="O840" s="7"/>
      <c r="P840" s="7"/>
      <c r="Q840" s="21"/>
      <c r="R840" s="7"/>
      <c r="S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4"/>
      <c r="K841" s="14"/>
      <c r="L841" s="14"/>
      <c r="M841" s="7"/>
      <c r="N841" s="7"/>
      <c r="O841" s="7"/>
      <c r="P841" s="7"/>
      <c r="Q841" s="21"/>
      <c r="R841" s="7"/>
      <c r="S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4"/>
      <c r="K842" s="14"/>
      <c r="L842" s="14"/>
      <c r="M842" s="7"/>
      <c r="N842" s="7"/>
      <c r="O842" s="7"/>
      <c r="P842" s="7"/>
      <c r="Q842" s="21"/>
      <c r="R842" s="7"/>
      <c r="S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4"/>
      <c r="K843" s="14"/>
      <c r="L843" s="14"/>
      <c r="M843" s="7"/>
      <c r="N843" s="7"/>
      <c r="O843" s="7"/>
      <c r="P843" s="7"/>
      <c r="Q843" s="21"/>
      <c r="R843" s="7"/>
      <c r="S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4"/>
      <c r="K844" s="14"/>
      <c r="L844" s="14"/>
      <c r="M844" s="7"/>
      <c r="N844" s="7"/>
      <c r="O844" s="7"/>
      <c r="P844" s="7"/>
      <c r="Q844" s="21"/>
      <c r="R844" s="7"/>
      <c r="S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4"/>
      <c r="K845" s="14"/>
      <c r="L845" s="14"/>
      <c r="M845" s="7"/>
      <c r="N845" s="7"/>
      <c r="O845" s="7"/>
      <c r="P845" s="7"/>
      <c r="Q845" s="21"/>
      <c r="R845" s="7"/>
      <c r="S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4"/>
      <c r="K846" s="14"/>
      <c r="L846" s="14"/>
      <c r="M846" s="7"/>
      <c r="N846" s="7"/>
      <c r="O846" s="7"/>
      <c r="P846" s="7"/>
      <c r="Q846" s="21"/>
      <c r="R846" s="7"/>
      <c r="S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4"/>
      <c r="K847" s="14"/>
      <c r="L847" s="14"/>
      <c r="M847" s="7"/>
      <c r="N847" s="7"/>
      <c r="O847" s="7"/>
      <c r="P847" s="7"/>
      <c r="Q847" s="21"/>
      <c r="R847" s="7"/>
      <c r="S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4"/>
      <c r="K848" s="14"/>
      <c r="L848" s="14"/>
      <c r="M848" s="7"/>
      <c r="N848" s="7"/>
      <c r="O848" s="7"/>
      <c r="P848" s="7"/>
      <c r="Q848" s="21"/>
      <c r="R848" s="7"/>
      <c r="S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4"/>
      <c r="K849" s="14"/>
      <c r="L849" s="14"/>
      <c r="M849" s="7"/>
      <c r="N849" s="7"/>
      <c r="O849" s="7"/>
      <c r="P849" s="7"/>
      <c r="Q849" s="21"/>
      <c r="R849" s="7"/>
      <c r="S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4"/>
      <c r="K850" s="14"/>
      <c r="L850" s="14"/>
      <c r="M850" s="7"/>
      <c r="N850" s="7"/>
      <c r="O850" s="7"/>
      <c r="P850" s="7"/>
      <c r="Q850" s="21"/>
      <c r="R850" s="7"/>
      <c r="S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4"/>
      <c r="K851" s="14"/>
      <c r="L851" s="14"/>
      <c r="M851" s="7"/>
      <c r="N851" s="7"/>
      <c r="O851" s="7"/>
      <c r="P851" s="7"/>
      <c r="Q851" s="21"/>
      <c r="R851" s="7"/>
      <c r="S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4"/>
      <c r="K852" s="14"/>
      <c r="L852" s="14"/>
      <c r="M852" s="7"/>
      <c r="N852" s="7"/>
      <c r="O852" s="7"/>
      <c r="P852" s="7"/>
      <c r="Q852" s="21"/>
      <c r="R852" s="7"/>
      <c r="S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4"/>
      <c r="K853" s="14"/>
      <c r="L853" s="14"/>
      <c r="M853" s="7"/>
      <c r="N853" s="7"/>
      <c r="O853" s="7"/>
      <c r="P853" s="7"/>
      <c r="Q853" s="21"/>
      <c r="R853" s="7"/>
      <c r="S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4"/>
      <c r="K854" s="14"/>
      <c r="L854" s="14"/>
      <c r="M854" s="7"/>
      <c r="N854" s="7"/>
      <c r="O854" s="7"/>
      <c r="P854" s="7"/>
      <c r="Q854" s="21"/>
      <c r="R854" s="7"/>
      <c r="S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4"/>
      <c r="K855" s="14"/>
      <c r="L855" s="14"/>
      <c r="M855" s="7"/>
      <c r="N855" s="7"/>
      <c r="O855" s="7"/>
      <c r="P855" s="7"/>
      <c r="Q855" s="21"/>
      <c r="R855" s="7"/>
      <c r="S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4"/>
      <c r="K856" s="14"/>
      <c r="L856" s="14"/>
      <c r="M856" s="7"/>
      <c r="N856" s="7"/>
      <c r="O856" s="7"/>
      <c r="P856" s="7"/>
      <c r="Q856" s="21"/>
      <c r="R856" s="7"/>
      <c r="S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4"/>
      <c r="K857" s="14"/>
      <c r="L857" s="14"/>
      <c r="M857" s="7"/>
      <c r="N857" s="7"/>
      <c r="O857" s="7"/>
      <c r="P857" s="7"/>
      <c r="Q857" s="21"/>
      <c r="R857" s="7"/>
      <c r="S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4"/>
      <c r="K858" s="14"/>
      <c r="L858" s="14"/>
      <c r="M858" s="7"/>
      <c r="N858" s="7"/>
      <c r="O858" s="7"/>
      <c r="P858" s="7"/>
      <c r="Q858" s="21"/>
      <c r="R858" s="7"/>
      <c r="S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4"/>
      <c r="K859" s="14"/>
      <c r="L859" s="14"/>
      <c r="M859" s="7"/>
      <c r="N859" s="7"/>
      <c r="O859" s="7"/>
      <c r="P859" s="7"/>
      <c r="Q859" s="21"/>
      <c r="R859" s="7"/>
      <c r="S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4"/>
      <c r="K860" s="14"/>
      <c r="L860" s="14"/>
      <c r="M860" s="7"/>
      <c r="N860" s="7"/>
      <c r="O860" s="7"/>
      <c r="P860" s="7"/>
      <c r="Q860" s="21"/>
      <c r="R860" s="7"/>
      <c r="S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4"/>
      <c r="K861" s="14"/>
      <c r="L861" s="14"/>
      <c r="M861" s="7"/>
      <c r="N861" s="7"/>
      <c r="O861" s="7"/>
      <c r="P861" s="7"/>
      <c r="Q861" s="21"/>
      <c r="R861" s="7"/>
      <c r="S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4"/>
      <c r="K862" s="14"/>
      <c r="L862" s="14"/>
      <c r="M862" s="7"/>
      <c r="N862" s="7"/>
      <c r="O862" s="7"/>
      <c r="P862" s="7"/>
      <c r="Q862" s="21"/>
      <c r="R862" s="7"/>
      <c r="S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4"/>
      <c r="K863" s="14"/>
      <c r="L863" s="14"/>
      <c r="M863" s="7"/>
      <c r="N863" s="7"/>
      <c r="O863" s="7"/>
      <c r="P863" s="7"/>
      <c r="Q863" s="21"/>
      <c r="R863" s="7"/>
      <c r="S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4"/>
      <c r="K864" s="14"/>
      <c r="L864" s="14"/>
      <c r="M864" s="7"/>
      <c r="N864" s="7"/>
      <c r="O864" s="7"/>
      <c r="P864" s="7"/>
      <c r="Q864" s="21"/>
      <c r="R864" s="7"/>
      <c r="S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4"/>
      <c r="K865" s="14"/>
      <c r="L865" s="14"/>
      <c r="M865" s="7"/>
      <c r="N865" s="7"/>
      <c r="O865" s="7"/>
      <c r="P865" s="7"/>
      <c r="Q865" s="21"/>
      <c r="R865" s="7"/>
      <c r="S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4"/>
      <c r="K866" s="14"/>
      <c r="L866" s="14"/>
      <c r="M866" s="7"/>
      <c r="N866" s="7"/>
      <c r="O866" s="7"/>
      <c r="P866" s="7"/>
      <c r="Q866" s="21"/>
      <c r="R866" s="7"/>
      <c r="S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4"/>
      <c r="K867" s="14"/>
      <c r="L867" s="14"/>
      <c r="M867" s="7"/>
      <c r="N867" s="7"/>
      <c r="O867" s="7"/>
      <c r="P867" s="7"/>
      <c r="Q867" s="21"/>
      <c r="R867" s="7"/>
      <c r="S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4"/>
      <c r="K868" s="14"/>
      <c r="L868" s="14"/>
      <c r="M868" s="7"/>
      <c r="N868" s="7"/>
      <c r="O868" s="7"/>
      <c r="P868" s="7"/>
      <c r="Q868" s="21"/>
      <c r="R868" s="7"/>
      <c r="S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4"/>
      <c r="K869" s="14"/>
      <c r="L869" s="14"/>
      <c r="M869" s="7"/>
      <c r="N869" s="7"/>
      <c r="O869" s="7"/>
      <c r="P869" s="7"/>
      <c r="Q869" s="21"/>
      <c r="R869" s="7"/>
      <c r="S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4"/>
      <c r="K870" s="14"/>
      <c r="L870" s="14"/>
      <c r="M870" s="7"/>
      <c r="N870" s="7"/>
      <c r="O870" s="7"/>
      <c r="P870" s="7"/>
      <c r="Q870" s="21"/>
      <c r="R870" s="7"/>
      <c r="S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4"/>
      <c r="K871" s="14"/>
      <c r="L871" s="14"/>
      <c r="M871" s="7"/>
      <c r="N871" s="7"/>
      <c r="O871" s="7"/>
      <c r="P871" s="7"/>
      <c r="Q871" s="21"/>
      <c r="R871" s="7"/>
      <c r="S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4"/>
      <c r="K872" s="14"/>
      <c r="L872" s="14"/>
      <c r="M872" s="7"/>
      <c r="N872" s="7"/>
      <c r="O872" s="7"/>
      <c r="P872" s="7"/>
      <c r="Q872" s="21"/>
      <c r="R872" s="7"/>
      <c r="S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4"/>
      <c r="K873" s="14"/>
      <c r="L873" s="14"/>
      <c r="M873" s="7"/>
      <c r="N873" s="7"/>
      <c r="O873" s="7"/>
      <c r="P873" s="7"/>
      <c r="Q873" s="21"/>
      <c r="R873" s="7"/>
      <c r="S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4"/>
      <c r="K874" s="14"/>
      <c r="L874" s="14"/>
      <c r="M874" s="7"/>
      <c r="N874" s="7"/>
      <c r="O874" s="7"/>
      <c r="P874" s="7"/>
      <c r="Q874" s="21"/>
      <c r="R874" s="7"/>
      <c r="S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4"/>
      <c r="K875" s="14"/>
      <c r="L875" s="14"/>
      <c r="M875" s="7"/>
      <c r="N875" s="7"/>
      <c r="O875" s="7"/>
      <c r="P875" s="7"/>
      <c r="Q875" s="21"/>
      <c r="R875" s="7"/>
      <c r="S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4"/>
      <c r="K876" s="14"/>
      <c r="L876" s="14"/>
      <c r="M876" s="7"/>
      <c r="N876" s="7"/>
      <c r="O876" s="7"/>
      <c r="P876" s="7"/>
      <c r="Q876" s="21"/>
      <c r="R876" s="7"/>
      <c r="S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4"/>
      <c r="K877" s="14"/>
      <c r="L877" s="14"/>
      <c r="M877" s="7"/>
      <c r="N877" s="7"/>
      <c r="O877" s="7"/>
      <c r="P877" s="7"/>
      <c r="Q877" s="21"/>
      <c r="R877" s="7"/>
      <c r="S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4"/>
      <c r="K878" s="14"/>
      <c r="L878" s="14"/>
      <c r="M878" s="7"/>
      <c r="N878" s="7"/>
      <c r="O878" s="7"/>
      <c r="P878" s="7"/>
      <c r="Q878" s="21"/>
      <c r="R878" s="7"/>
      <c r="S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4"/>
      <c r="K879" s="14"/>
      <c r="L879" s="14"/>
      <c r="M879" s="7"/>
      <c r="N879" s="7"/>
      <c r="O879" s="7"/>
      <c r="P879" s="7"/>
      <c r="Q879" s="21"/>
      <c r="R879" s="7"/>
      <c r="S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4"/>
      <c r="K880" s="14"/>
      <c r="L880" s="14"/>
      <c r="M880" s="7"/>
      <c r="N880" s="7"/>
      <c r="O880" s="7"/>
      <c r="P880" s="7"/>
      <c r="Q880" s="21"/>
      <c r="R880" s="7"/>
      <c r="S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4"/>
      <c r="K881" s="14"/>
      <c r="L881" s="14"/>
      <c r="M881" s="7"/>
      <c r="N881" s="7"/>
      <c r="O881" s="7"/>
      <c r="P881" s="7"/>
      <c r="Q881" s="21"/>
      <c r="R881" s="7"/>
      <c r="S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4"/>
      <c r="K882" s="14"/>
      <c r="L882" s="14"/>
      <c r="M882" s="7"/>
      <c r="N882" s="7"/>
      <c r="O882" s="7"/>
      <c r="P882" s="7"/>
      <c r="Q882" s="21"/>
      <c r="R882" s="7"/>
      <c r="S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4"/>
      <c r="K883" s="14"/>
      <c r="L883" s="14"/>
      <c r="M883" s="7"/>
      <c r="N883" s="7"/>
      <c r="O883" s="7"/>
      <c r="P883" s="7"/>
      <c r="Q883" s="21"/>
      <c r="R883" s="7"/>
      <c r="S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4"/>
      <c r="K884" s="14"/>
      <c r="L884" s="14"/>
      <c r="M884" s="7"/>
      <c r="N884" s="7"/>
      <c r="O884" s="7"/>
      <c r="P884" s="7"/>
      <c r="Q884" s="21"/>
      <c r="R884" s="7"/>
      <c r="S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4"/>
      <c r="K885" s="14"/>
      <c r="L885" s="14"/>
      <c r="M885" s="7"/>
      <c r="N885" s="7"/>
      <c r="O885" s="7"/>
      <c r="P885" s="7"/>
      <c r="Q885" s="21"/>
      <c r="R885" s="7"/>
      <c r="S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4"/>
      <c r="K886" s="14"/>
      <c r="L886" s="14"/>
      <c r="M886" s="7"/>
      <c r="N886" s="7"/>
      <c r="O886" s="7"/>
      <c r="P886" s="7"/>
      <c r="Q886" s="21"/>
      <c r="R886" s="7"/>
      <c r="S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4"/>
      <c r="K887" s="14"/>
      <c r="L887" s="14"/>
      <c r="M887" s="7"/>
      <c r="N887" s="7"/>
      <c r="O887" s="7"/>
      <c r="P887" s="7"/>
      <c r="Q887" s="21"/>
      <c r="R887" s="7"/>
      <c r="S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4"/>
      <c r="K888" s="14"/>
      <c r="L888" s="14"/>
      <c r="M888" s="7"/>
      <c r="N888" s="7"/>
      <c r="O888" s="7"/>
      <c r="P888" s="7"/>
      <c r="Q888" s="21"/>
      <c r="R888" s="7"/>
      <c r="S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4"/>
      <c r="K889" s="14"/>
      <c r="L889" s="14"/>
      <c r="M889" s="7"/>
      <c r="N889" s="7"/>
      <c r="O889" s="7"/>
      <c r="P889" s="7"/>
      <c r="Q889" s="21"/>
      <c r="R889" s="7"/>
      <c r="S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4"/>
      <c r="K890" s="14"/>
      <c r="L890" s="14"/>
      <c r="M890" s="7"/>
      <c r="N890" s="7"/>
      <c r="O890" s="7"/>
      <c r="P890" s="7"/>
      <c r="Q890" s="21"/>
      <c r="R890" s="7"/>
      <c r="S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4"/>
      <c r="K891" s="14"/>
      <c r="L891" s="14"/>
      <c r="M891" s="7"/>
      <c r="N891" s="7"/>
      <c r="O891" s="7"/>
      <c r="P891" s="7"/>
      <c r="Q891" s="21"/>
      <c r="R891" s="7"/>
      <c r="S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4"/>
      <c r="K892" s="14"/>
      <c r="L892" s="14"/>
      <c r="M892" s="7"/>
      <c r="N892" s="7"/>
      <c r="O892" s="7"/>
      <c r="P892" s="7"/>
      <c r="Q892" s="21"/>
      <c r="R892" s="7"/>
      <c r="S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4"/>
      <c r="K893" s="14"/>
      <c r="L893" s="14"/>
      <c r="M893" s="7"/>
      <c r="N893" s="7"/>
      <c r="O893" s="7"/>
      <c r="P893" s="7"/>
      <c r="Q893" s="21"/>
      <c r="R893" s="7"/>
      <c r="S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4"/>
      <c r="K894" s="14"/>
      <c r="L894" s="14"/>
      <c r="M894" s="7"/>
      <c r="N894" s="7"/>
      <c r="O894" s="7"/>
      <c r="P894" s="7"/>
      <c r="Q894" s="21"/>
      <c r="R894" s="7"/>
      <c r="S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4"/>
      <c r="K895" s="14"/>
      <c r="L895" s="14"/>
      <c r="M895" s="7"/>
      <c r="N895" s="7"/>
      <c r="O895" s="7"/>
      <c r="P895" s="7"/>
      <c r="Q895" s="21"/>
      <c r="R895" s="7"/>
      <c r="S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4"/>
      <c r="K896" s="14"/>
      <c r="L896" s="14"/>
      <c r="M896" s="7"/>
      <c r="N896" s="7"/>
      <c r="O896" s="7"/>
      <c r="P896" s="7"/>
      <c r="Q896" s="21"/>
      <c r="R896" s="7"/>
      <c r="S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4"/>
      <c r="K897" s="14"/>
      <c r="L897" s="14"/>
      <c r="M897" s="7"/>
      <c r="N897" s="7"/>
      <c r="O897" s="7"/>
      <c r="P897" s="7"/>
      <c r="Q897" s="21"/>
      <c r="R897" s="7"/>
      <c r="S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4"/>
      <c r="K898" s="14"/>
      <c r="L898" s="14"/>
      <c r="M898" s="7"/>
      <c r="N898" s="7"/>
      <c r="O898" s="7"/>
      <c r="P898" s="7"/>
      <c r="Q898" s="21"/>
      <c r="R898" s="7"/>
      <c r="S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4"/>
      <c r="K899" s="14"/>
      <c r="L899" s="14"/>
      <c r="M899" s="7"/>
      <c r="N899" s="7"/>
      <c r="O899" s="7"/>
      <c r="P899" s="7"/>
      <c r="Q899" s="21"/>
      <c r="R899" s="7"/>
      <c r="S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4"/>
      <c r="K900" s="14"/>
      <c r="L900" s="14"/>
      <c r="M900" s="7"/>
      <c r="N900" s="7"/>
      <c r="O900" s="7"/>
      <c r="P900" s="7"/>
      <c r="Q900" s="21"/>
      <c r="R900" s="7"/>
      <c r="S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4"/>
      <c r="K901" s="14"/>
      <c r="L901" s="14"/>
      <c r="M901" s="7"/>
      <c r="N901" s="7"/>
      <c r="O901" s="7"/>
      <c r="P901" s="7"/>
      <c r="Q901" s="21"/>
      <c r="R901" s="7"/>
      <c r="S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4"/>
      <c r="K902" s="14"/>
      <c r="L902" s="14"/>
      <c r="M902" s="7"/>
      <c r="N902" s="7"/>
      <c r="O902" s="7"/>
      <c r="P902" s="7"/>
      <c r="Q902" s="21"/>
      <c r="R902" s="7"/>
      <c r="S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4"/>
      <c r="K903" s="14"/>
      <c r="L903" s="14"/>
      <c r="M903" s="7"/>
      <c r="N903" s="7"/>
      <c r="O903" s="7"/>
      <c r="P903" s="7"/>
      <c r="Q903" s="21"/>
      <c r="R903" s="7"/>
      <c r="S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4"/>
      <c r="K904" s="14"/>
      <c r="L904" s="14"/>
      <c r="M904" s="7"/>
      <c r="N904" s="7"/>
      <c r="O904" s="7"/>
      <c r="P904" s="7"/>
      <c r="Q904" s="21"/>
      <c r="R904" s="7"/>
      <c r="S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4"/>
      <c r="K905" s="14"/>
      <c r="L905" s="14"/>
      <c r="M905" s="7"/>
      <c r="N905" s="7"/>
      <c r="O905" s="7"/>
      <c r="P905" s="7"/>
      <c r="Q905" s="21"/>
      <c r="R905" s="7"/>
      <c r="S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4"/>
      <c r="K906" s="14"/>
      <c r="L906" s="14"/>
      <c r="M906" s="7"/>
      <c r="N906" s="7"/>
      <c r="O906" s="7"/>
      <c r="P906" s="7"/>
      <c r="Q906" s="21"/>
      <c r="R906" s="7"/>
      <c r="S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4"/>
      <c r="K907" s="14"/>
      <c r="L907" s="14"/>
      <c r="M907" s="7"/>
      <c r="N907" s="7"/>
      <c r="O907" s="7"/>
      <c r="P907" s="7"/>
      <c r="Q907" s="21"/>
      <c r="R907" s="7"/>
      <c r="S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4"/>
      <c r="K908" s="14"/>
      <c r="L908" s="14"/>
      <c r="M908" s="7"/>
      <c r="N908" s="7"/>
      <c r="O908" s="7"/>
      <c r="P908" s="7"/>
      <c r="Q908" s="21"/>
      <c r="R908" s="7"/>
      <c r="S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4"/>
      <c r="K909" s="14"/>
      <c r="L909" s="14"/>
      <c r="M909" s="7"/>
      <c r="N909" s="7"/>
      <c r="O909" s="7"/>
      <c r="P909" s="7"/>
      <c r="Q909" s="21"/>
      <c r="R909" s="7"/>
      <c r="S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4"/>
      <c r="K910" s="14"/>
      <c r="L910" s="14"/>
      <c r="M910" s="7"/>
      <c r="N910" s="7"/>
      <c r="O910" s="7"/>
      <c r="P910" s="7"/>
      <c r="Q910" s="21"/>
      <c r="R910" s="7"/>
      <c r="S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4"/>
      <c r="K911" s="14"/>
      <c r="L911" s="14"/>
      <c r="M911" s="7"/>
      <c r="N911" s="7"/>
      <c r="O911" s="7"/>
      <c r="P911" s="7"/>
      <c r="Q911" s="21"/>
      <c r="R911" s="7"/>
      <c r="S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4"/>
      <c r="K912" s="14"/>
      <c r="L912" s="14"/>
      <c r="M912" s="7"/>
      <c r="N912" s="7"/>
      <c r="O912" s="7"/>
      <c r="P912" s="7"/>
      <c r="Q912" s="21"/>
      <c r="R912" s="7"/>
      <c r="S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4"/>
      <c r="K913" s="14"/>
      <c r="L913" s="14"/>
      <c r="M913" s="7"/>
      <c r="N913" s="7"/>
      <c r="O913" s="7"/>
      <c r="P913" s="7"/>
      <c r="Q913" s="21"/>
      <c r="R913" s="7"/>
      <c r="S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4"/>
      <c r="K914" s="14"/>
      <c r="L914" s="14"/>
      <c r="M914" s="7"/>
      <c r="N914" s="7"/>
      <c r="O914" s="7"/>
      <c r="P914" s="7"/>
      <c r="Q914" s="21"/>
      <c r="R914" s="7"/>
      <c r="S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4"/>
      <c r="K915" s="14"/>
      <c r="L915" s="14"/>
      <c r="M915" s="7"/>
      <c r="N915" s="7"/>
      <c r="O915" s="7"/>
      <c r="P915" s="7"/>
      <c r="Q915" s="21"/>
      <c r="R915" s="7"/>
      <c r="S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4"/>
      <c r="K916" s="14"/>
      <c r="L916" s="14"/>
      <c r="M916" s="7"/>
      <c r="N916" s="7"/>
      <c r="O916" s="7"/>
      <c r="P916" s="7"/>
      <c r="Q916" s="21"/>
      <c r="R916" s="7"/>
      <c r="S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4"/>
      <c r="K917" s="14"/>
      <c r="L917" s="14"/>
      <c r="M917" s="7"/>
      <c r="N917" s="7"/>
      <c r="O917" s="7"/>
      <c r="P917" s="7"/>
      <c r="Q917" s="21"/>
      <c r="R917" s="7"/>
      <c r="S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4"/>
      <c r="K918" s="14"/>
      <c r="L918" s="14"/>
      <c r="M918" s="7"/>
      <c r="N918" s="7"/>
      <c r="O918" s="7"/>
      <c r="P918" s="7"/>
      <c r="Q918" s="21"/>
      <c r="R918" s="7"/>
      <c r="S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4"/>
      <c r="K919" s="14"/>
      <c r="L919" s="14"/>
      <c r="M919" s="7"/>
      <c r="N919" s="7"/>
      <c r="O919" s="7"/>
      <c r="P919" s="7"/>
      <c r="Q919" s="21"/>
      <c r="R919" s="7"/>
      <c r="S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4"/>
      <c r="K920" s="14"/>
      <c r="L920" s="14"/>
      <c r="M920" s="7"/>
      <c r="N920" s="7"/>
      <c r="O920" s="7"/>
      <c r="P920" s="7"/>
      <c r="Q920" s="21"/>
      <c r="R920" s="7"/>
      <c r="S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4"/>
      <c r="K921" s="14"/>
      <c r="L921" s="14"/>
      <c r="M921" s="7"/>
      <c r="N921" s="7"/>
      <c r="O921" s="7"/>
      <c r="P921" s="7"/>
      <c r="Q921" s="21"/>
      <c r="R921" s="7"/>
      <c r="S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4"/>
      <c r="K922" s="14"/>
      <c r="L922" s="14"/>
      <c r="M922" s="7"/>
      <c r="N922" s="7"/>
      <c r="O922" s="7"/>
      <c r="P922" s="7"/>
      <c r="Q922" s="21"/>
      <c r="R922" s="7"/>
      <c r="S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4"/>
      <c r="K923" s="14"/>
      <c r="L923" s="14"/>
      <c r="M923" s="7"/>
      <c r="N923" s="7"/>
      <c r="O923" s="7"/>
      <c r="P923" s="7"/>
      <c r="Q923" s="21"/>
      <c r="R923" s="7"/>
      <c r="S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4"/>
      <c r="K924" s="14"/>
      <c r="L924" s="14"/>
      <c r="M924" s="7"/>
      <c r="N924" s="7"/>
      <c r="O924" s="7"/>
      <c r="P924" s="7"/>
      <c r="Q924" s="21"/>
      <c r="R924" s="7"/>
      <c r="S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4"/>
      <c r="K925" s="14"/>
      <c r="L925" s="14"/>
      <c r="M925" s="7"/>
      <c r="N925" s="7"/>
      <c r="O925" s="7"/>
      <c r="P925" s="7"/>
      <c r="Q925" s="21"/>
      <c r="R925" s="7"/>
      <c r="S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4"/>
      <c r="K926" s="14"/>
      <c r="L926" s="14"/>
      <c r="M926" s="7"/>
      <c r="N926" s="7"/>
      <c r="O926" s="7"/>
      <c r="P926" s="7"/>
      <c r="Q926" s="21"/>
      <c r="R926" s="7"/>
      <c r="S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4"/>
      <c r="K927" s="14"/>
      <c r="L927" s="14"/>
      <c r="M927" s="7"/>
      <c r="N927" s="7"/>
      <c r="O927" s="7"/>
      <c r="P927" s="7"/>
      <c r="Q927" s="21"/>
      <c r="R927" s="7"/>
      <c r="S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4"/>
      <c r="K928" s="14"/>
      <c r="L928" s="14"/>
      <c r="M928" s="7"/>
      <c r="N928" s="7"/>
      <c r="O928" s="7"/>
      <c r="P928" s="7"/>
      <c r="Q928" s="21"/>
      <c r="R928" s="7"/>
      <c r="S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4"/>
      <c r="K929" s="14"/>
      <c r="L929" s="14"/>
      <c r="M929" s="7"/>
      <c r="N929" s="7"/>
      <c r="O929" s="7"/>
      <c r="P929" s="7"/>
      <c r="Q929" s="21"/>
      <c r="R929" s="7"/>
      <c r="S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4"/>
      <c r="K930" s="14"/>
      <c r="L930" s="14"/>
      <c r="M930" s="7"/>
      <c r="N930" s="7"/>
      <c r="O930" s="7"/>
      <c r="P930" s="7"/>
      <c r="Q930" s="21"/>
      <c r="R930" s="7"/>
      <c r="S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4"/>
      <c r="K931" s="14"/>
      <c r="L931" s="14"/>
      <c r="M931" s="7"/>
      <c r="N931" s="7"/>
      <c r="O931" s="7"/>
      <c r="P931" s="7"/>
      <c r="Q931" s="21"/>
      <c r="R931" s="7"/>
      <c r="S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4"/>
      <c r="K932" s="14"/>
      <c r="L932" s="14"/>
      <c r="M932" s="7"/>
      <c r="N932" s="7"/>
      <c r="O932" s="7"/>
      <c r="P932" s="7"/>
      <c r="Q932" s="21"/>
      <c r="R932" s="7"/>
      <c r="S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4"/>
      <c r="K933" s="14"/>
      <c r="L933" s="14"/>
      <c r="M933" s="7"/>
      <c r="N933" s="7"/>
      <c r="O933" s="7"/>
      <c r="P933" s="7"/>
      <c r="Q933" s="21"/>
      <c r="R933" s="7"/>
      <c r="S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4"/>
      <c r="K934" s="14"/>
      <c r="L934" s="14"/>
      <c r="M934" s="7"/>
      <c r="N934" s="7"/>
      <c r="O934" s="7"/>
      <c r="P934" s="7"/>
      <c r="Q934" s="21"/>
      <c r="R934" s="7"/>
      <c r="S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4"/>
      <c r="K935" s="14"/>
      <c r="L935" s="14"/>
      <c r="M935" s="7"/>
      <c r="N935" s="7"/>
      <c r="O935" s="7"/>
      <c r="P935" s="7"/>
      <c r="Q935" s="21"/>
      <c r="R935" s="7"/>
      <c r="S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4"/>
      <c r="K936" s="14"/>
      <c r="L936" s="14"/>
      <c r="M936" s="7"/>
      <c r="N936" s="7"/>
      <c r="O936" s="7"/>
      <c r="P936" s="7"/>
      <c r="Q936" s="21"/>
      <c r="R936" s="7"/>
      <c r="S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4"/>
      <c r="K937" s="14"/>
      <c r="L937" s="14"/>
      <c r="M937" s="7"/>
      <c r="N937" s="7"/>
      <c r="O937" s="7"/>
      <c r="P937" s="7"/>
      <c r="Q937" s="21"/>
      <c r="R937" s="7"/>
      <c r="S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4"/>
      <c r="K938" s="14"/>
      <c r="L938" s="14"/>
      <c r="M938" s="7"/>
      <c r="N938" s="7"/>
      <c r="O938" s="7"/>
      <c r="P938" s="7"/>
      <c r="Q938" s="21"/>
      <c r="R938" s="7"/>
      <c r="S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4"/>
      <c r="K939" s="14"/>
      <c r="L939" s="14"/>
      <c r="M939" s="7"/>
      <c r="N939" s="7"/>
      <c r="O939" s="7"/>
      <c r="P939" s="7"/>
      <c r="Q939" s="21"/>
      <c r="R939" s="7"/>
      <c r="S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4"/>
      <c r="K940" s="14"/>
      <c r="L940" s="14"/>
      <c r="M940" s="7"/>
      <c r="N940" s="7"/>
      <c r="O940" s="7"/>
      <c r="P940" s="7"/>
      <c r="Q940" s="21"/>
      <c r="R940" s="7"/>
      <c r="S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4"/>
      <c r="K941" s="14"/>
      <c r="L941" s="14"/>
      <c r="M941" s="7"/>
      <c r="N941" s="7"/>
      <c r="O941" s="7"/>
      <c r="P941" s="7"/>
      <c r="Q941" s="21"/>
      <c r="R941" s="7"/>
      <c r="S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4"/>
      <c r="K942" s="14"/>
      <c r="L942" s="14"/>
      <c r="M942" s="7"/>
      <c r="N942" s="7"/>
      <c r="O942" s="7"/>
      <c r="P942" s="7"/>
      <c r="Q942" s="21"/>
      <c r="R942" s="7"/>
      <c r="S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4"/>
      <c r="K943" s="14"/>
      <c r="L943" s="14"/>
      <c r="M943" s="7"/>
      <c r="N943" s="7"/>
      <c r="O943" s="7"/>
      <c r="P943" s="7"/>
      <c r="Q943" s="21"/>
      <c r="R943" s="7"/>
      <c r="S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4"/>
      <c r="K944" s="14"/>
      <c r="L944" s="14"/>
      <c r="M944" s="7"/>
      <c r="N944" s="7"/>
      <c r="O944" s="7"/>
      <c r="P944" s="7"/>
      <c r="Q944" s="21"/>
      <c r="R944" s="7"/>
      <c r="S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4"/>
      <c r="K945" s="14"/>
      <c r="L945" s="14"/>
      <c r="M945" s="7"/>
      <c r="N945" s="7"/>
      <c r="O945" s="7"/>
      <c r="P945" s="7"/>
      <c r="Q945" s="21"/>
      <c r="R945" s="7"/>
      <c r="S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4"/>
      <c r="K946" s="14"/>
      <c r="L946" s="14"/>
      <c r="M946" s="7"/>
      <c r="N946" s="7"/>
      <c r="O946" s="7"/>
      <c r="P946" s="7"/>
      <c r="Q946" s="21"/>
      <c r="R946" s="7"/>
      <c r="S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4"/>
      <c r="K947" s="14"/>
      <c r="L947" s="14"/>
      <c r="M947" s="7"/>
      <c r="N947" s="7"/>
      <c r="O947" s="7"/>
      <c r="P947" s="7"/>
      <c r="Q947" s="21"/>
      <c r="R947" s="7"/>
      <c r="S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4"/>
      <c r="K948" s="14"/>
      <c r="L948" s="14"/>
      <c r="M948" s="7"/>
      <c r="N948" s="7"/>
      <c r="O948" s="7"/>
      <c r="P948" s="7"/>
      <c r="Q948" s="21"/>
      <c r="R948" s="7"/>
      <c r="S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4"/>
      <c r="K949" s="14"/>
      <c r="L949" s="14"/>
      <c r="M949" s="7"/>
      <c r="N949" s="7"/>
      <c r="O949" s="7"/>
      <c r="P949" s="7"/>
      <c r="Q949" s="21"/>
      <c r="R949" s="7"/>
      <c r="S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4"/>
      <c r="K950" s="14"/>
      <c r="L950" s="14"/>
      <c r="M950" s="7"/>
      <c r="N950" s="7"/>
      <c r="O950" s="7"/>
      <c r="P950" s="7"/>
      <c r="Q950" s="21"/>
      <c r="R950" s="7"/>
      <c r="S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4"/>
      <c r="K951" s="14"/>
      <c r="L951" s="14"/>
      <c r="M951" s="7"/>
      <c r="N951" s="7"/>
      <c r="O951" s="7"/>
      <c r="P951" s="7"/>
      <c r="Q951" s="21"/>
      <c r="R951" s="7"/>
      <c r="S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4"/>
      <c r="K952" s="14"/>
      <c r="L952" s="14"/>
      <c r="M952" s="7"/>
      <c r="N952" s="7"/>
      <c r="O952" s="7"/>
      <c r="P952" s="7"/>
      <c r="Q952" s="21"/>
      <c r="R952" s="7"/>
      <c r="S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4"/>
      <c r="K953" s="14"/>
      <c r="L953" s="14"/>
      <c r="M953" s="7"/>
      <c r="N953" s="7"/>
      <c r="O953" s="7"/>
      <c r="P953" s="7"/>
      <c r="Q953" s="21"/>
      <c r="R953" s="7"/>
      <c r="S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4"/>
      <c r="K954" s="14"/>
      <c r="L954" s="14"/>
      <c r="M954" s="7"/>
      <c r="N954" s="7"/>
      <c r="O954" s="7"/>
      <c r="P954" s="7"/>
      <c r="Q954" s="21"/>
      <c r="R954" s="7"/>
      <c r="S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4"/>
      <c r="K955" s="14"/>
      <c r="L955" s="14"/>
      <c r="M955" s="7"/>
      <c r="N955" s="7"/>
      <c r="O955" s="7"/>
      <c r="P955" s="7"/>
      <c r="Q955" s="21"/>
      <c r="R955" s="7"/>
      <c r="S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4"/>
      <c r="K956" s="14"/>
      <c r="L956" s="14"/>
      <c r="M956" s="7"/>
      <c r="N956" s="7"/>
      <c r="O956" s="7"/>
      <c r="P956" s="7"/>
      <c r="Q956" s="21"/>
      <c r="R956" s="7"/>
      <c r="S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4"/>
      <c r="K957" s="14"/>
      <c r="L957" s="14"/>
      <c r="M957" s="7"/>
      <c r="N957" s="7"/>
      <c r="O957" s="7"/>
      <c r="P957" s="7"/>
      <c r="Q957" s="21"/>
      <c r="R957" s="7"/>
      <c r="S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4"/>
      <c r="K958" s="14"/>
      <c r="L958" s="14"/>
      <c r="M958" s="7"/>
      <c r="N958" s="7"/>
      <c r="O958" s="7"/>
      <c r="P958" s="7"/>
      <c r="Q958" s="21"/>
      <c r="R958" s="7"/>
      <c r="S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4"/>
      <c r="K959" s="14"/>
      <c r="L959" s="14"/>
      <c r="M959" s="7"/>
      <c r="N959" s="7"/>
      <c r="O959" s="7"/>
      <c r="P959" s="7"/>
      <c r="Q959" s="21"/>
      <c r="R959" s="7"/>
      <c r="S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4"/>
      <c r="K960" s="14"/>
      <c r="L960" s="14"/>
      <c r="M960" s="7"/>
      <c r="N960" s="7"/>
      <c r="O960" s="7"/>
      <c r="P960" s="7"/>
      <c r="Q960" s="21"/>
      <c r="R960" s="7"/>
      <c r="S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4"/>
      <c r="K961" s="14"/>
      <c r="L961" s="14"/>
      <c r="M961" s="7"/>
      <c r="N961" s="7"/>
      <c r="O961" s="7"/>
      <c r="P961" s="7"/>
      <c r="Q961" s="21"/>
      <c r="R961" s="7"/>
      <c r="S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4"/>
      <c r="K962" s="14"/>
      <c r="L962" s="14"/>
      <c r="M962" s="7"/>
      <c r="N962" s="7"/>
      <c r="O962" s="7"/>
      <c r="P962" s="7"/>
      <c r="Q962" s="21"/>
      <c r="R962" s="7"/>
      <c r="S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4"/>
      <c r="K963" s="14"/>
      <c r="L963" s="14"/>
      <c r="M963" s="7"/>
      <c r="N963" s="7"/>
      <c r="O963" s="7"/>
      <c r="P963" s="7"/>
      <c r="Q963" s="21"/>
      <c r="R963" s="7"/>
      <c r="S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4"/>
      <c r="K964" s="14"/>
      <c r="L964" s="14"/>
      <c r="M964" s="7"/>
      <c r="N964" s="7"/>
      <c r="O964" s="7"/>
      <c r="P964" s="7"/>
      <c r="Q964" s="21"/>
      <c r="R964" s="7"/>
      <c r="S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4"/>
      <c r="K965" s="14"/>
      <c r="L965" s="14"/>
      <c r="M965" s="7"/>
      <c r="N965" s="7"/>
      <c r="O965" s="7"/>
      <c r="P965" s="7"/>
      <c r="Q965" s="21"/>
      <c r="R965" s="7"/>
      <c r="S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4"/>
      <c r="K966" s="14"/>
      <c r="L966" s="14"/>
      <c r="M966" s="7"/>
      <c r="N966" s="7"/>
      <c r="O966" s="7"/>
      <c r="P966" s="7"/>
      <c r="Q966" s="21"/>
      <c r="R966" s="7"/>
      <c r="S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4"/>
      <c r="K967" s="14"/>
      <c r="L967" s="14"/>
      <c r="M967" s="7"/>
      <c r="N967" s="7"/>
      <c r="O967" s="7"/>
      <c r="P967" s="7"/>
      <c r="Q967" s="21"/>
      <c r="R967" s="7"/>
      <c r="S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4"/>
      <c r="K968" s="14"/>
      <c r="L968" s="14"/>
      <c r="M968" s="7"/>
      <c r="N968" s="7"/>
      <c r="O968" s="7"/>
      <c r="P968" s="7"/>
      <c r="Q968" s="21"/>
      <c r="R968" s="7"/>
      <c r="S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4"/>
      <c r="K969" s="14"/>
      <c r="L969" s="14"/>
      <c r="M969" s="7"/>
      <c r="N969" s="7"/>
      <c r="O969" s="7"/>
      <c r="P969" s="7"/>
      <c r="Q969" s="21"/>
      <c r="R969" s="7"/>
      <c r="S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4"/>
      <c r="K970" s="14"/>
      <c r="L970" s="14"/>
      <c r="M970" s="7"/>
      <c r="N970" s="7"/>
      <c r="O970" s="7"/>
      <c r="P970" s="7"/>
      <c r="Q970" s="21"/>
      <c r="R970" s="7"/>
      <c r="S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4"/>
      <c r="K971" s="14"/>
      <c r="L971" s="14"/>
      <c r="M971" s="7"/>
      <c r="N971" s="7"/>
      <c r="O971" s="7"/>
      <c r="P971" s="7"/>
      <c r="Q971" s="21"/>
      <c r="R971" s="7"/>
      <c r="S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4"/>
      <c r="K972" s="14"/>
      <c r="L972" s="14"/>
      <c r="M972" s="7"/>
      <c r="N972" s="7"/>
      <c r="O972" s="7"/>
      <c r="P972" s="7"/>
      <c r="Q972" s="21"/>
      <c r="R972" s="7"/>
      <c r="S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4"/>
      <c r="K973" s="14"/>
      <c r="L973" s="14"/>
      <c r="M973" s="7"/>
      <c r="N973" s="7"/>
      <c r="O973" s="7"/>
      <c r="P973" s="7"/>
      <c r="Q973" s="21"/>
      <c r="R973" s="7"/>
      <c r="S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4"/>
      <c r="K974" s="14"/>
      <c r="L974" s="14"/>
      <c r="M974" s="7"/>
      <c r="N974" s="7"/>
      <c r="O974" s="7"/>
      <c r="P974" s="7"/>
      <c r="Q974" s="21"/>
      <c r="R974" s="7"/>
      <c r="S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4"/>
      <c r="K975" s="14"/>
      <c r="L975" s="14"/>
      <c r="M975" s="7"/>
      <c r="N975" s="7"/>
      <c r="O975" s="7"/>
      <c r="P975" s="7"/>
      <c r="Q975" s="21"/>
      <c r="R975" s="7"/>
      <c r="S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4"/>
      <c r="K976" s="14"/>
      <c r="L976" s="14"/>
      <c r="M976" s="7"/>
      <c r="N976" s="7"/>
      <c r="O976" s="7"/>
      <c r="P976" s="7"/>
      <c r="Q976" s="21"/>
      <c r="R976" s="7"/>
      <c r="S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4"/>
      <c r="K977" s="14"/>
      <c r="L977" s="14"/>
      <c r="M977" s="7"/>
      <c r="N977" s="7"/>
      <c r="O977" s="7"/>
      <c r="P977" s="7"/>
      <c r="Q977" s="21"/>
      <c r="R977" s="7"/>
      <c r="S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4"/>
      <c r="K978" s="14"/>
      <c r="L978" s="14"/>
      <c r="M978" s="7"/>
      <c r="N978" s="7"/>
      <c r="O978" s="7"/>
      <c r="P978" s="7"/>
      <c r="Q978" s="21"/>
      <c r="R978" s="7"/>
      <c r="S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4"/>
      <c r="K979" s="14"/>
      <c r="L979" s="14"/>
      <c r="M979" s="7"/>
      <c r="N979" s="7"/>
      <c r="O979" s="7"/>
      <c r="P979" s="7"/>
      <c r="Q979" s="21"/>
      <c r="R979" s="7"/>
      <c r="S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4"/>
      <c r="K980" s="14"/>
      <c r="L980" s="14"/>
      <c r="M980" s="7"/>
      <c r="N980" s="7"/>
      <c r="O980" s="7"/>
      <c r="P980" s="7"/>
      <c r="Q980" s="21"/>
      <c r="R980" s="7"/>
      <c r="S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4"/>
      <c r="K981" s="14"/>
      <c r="L981" s="14"/>
      <c r="M981" s="7"/>
      <c r="N981" s="7"/>
      <c r="O981" s="7"/>
      <c r="P981" s="7"/>
      <c r="Q981" s="21"/>
      <c r="R981" s="7"/>
      <c r="S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4"/>
      <c r="K982" s="14"/>
      <c r="L982" s="14"/>
      <c r="M982" s="7"/>
      <c r="N982" s="7"/>
      <c r="O982" s="7"/>
      <c r="P982" s="7"/>
      <c r="Q982" s="21"/>
      <c r="R982" s="7"/>
      <c r="S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4"/>
      <c r="K983" s="14"/>
      <c r="L983" s="14"/>
      <c r="M983" s="7"/>
      <c r="N983" s="7"/>
      <c r="O983" s="7"/>
      <c r="P983" s="7"/>
      <c r="Q983" s="21"/>
      <c r="R983" s="7"/>
      <c r="S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4"/>
      <c r="K984" s="14"/>
      <c r="L984" s="14"/>
      <c r="M984" s="7"/>
      <c r="N984" s="7"/>
      <c r="O984" s="7"/>
      <c r="P984" s="7"/>
      <c r="Q984" s="21"/>
      <c r="R984" s="7"/>
      <c r="S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4"/>
      <c r="K985" s="14"/>
      <c r="L985" s="14"/>
      <c r="M985" s="7"/>
      <c r="N985" s="7"/>
      <c r="O985" s="7"/>
      <c r="P985" s="7"/>
      <c r="Q985" s="21"/>
      <c r="R985" s="7"/>
      <c r="S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4"/>
      <c r="K986" s="14"/>
      <c r="L986" s="14"/>
      <c r="M986" s="7"/>
      <c r="N986" s="7"/>
      <c r="O986" s="7"/>
      <c r="P986" s="7"/>
      <c r="Q986" s="21"/>
      <c r="R986" s="7"/>
      <c r="S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4"/>
      <c r="K987" s="14"/>
      <c r="L987" s="14"/>
      <c r="M987" s="7"/>
      <c r="N987" s="7"/>
      <c r="O987" s="7"/>
      <c r="P987" s="7"/>
      <c r="Q987" s="21"/>
      <c r="R987" s="7"/>
      <c r="S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4"/>
      <c r="K988" s="14"/>
      <c r="L988" s="14"/>
      <c r="M988" s="7"/>
      <c r="N988" s="7"/>
      <c r="O988" s="7"/>
      <c r="P988" s="7"/>
      <c r="Q988" s="21"/>
      <c r="R988" s="7"/>
      <c r="S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4"/>
      <c r="K989" s="14"/>
      <c r="L989" s="14"/>
      <c r="M989" s="7"/>
      <c r="N989" s="7"/>
      <c r="O989" s="7"/>
      <c r="P989" s="7"/>
      <c r="Q989" s="21"/>
      <c r="R989" s="7"/>
      <c r="S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4"/>
      <c r="K990" s="14"/>
      <c r="L990" s="14"/>
      <c r="M990" s="7"/>
      <c r="N990" s="7"/>
      <c r="O990" s="7"/>
      <c r="P990" s="7"/>
      <c r="Q990" s="21"/>
      <c r="R990" s="7"/>
      <c r="S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4"/>
      <c r="K991" s="14"/>
      <c r="L991" s="14"/>
      <c r="M991" s="7"/>
      <c r="N991" s="7"/>
      <c r="O991" s="7"/>
      <c r="P991" s="7"/>
      <c r="Q991" s="21"/>
      <c r="R991" s="7"/>
      <c r="S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4"/>
      <c r="K992" s="14"/>
      <c r="L992" s="14"/>
      <c r="M992" s="7"/>
      <c r="N992" s="7"/>
      <c r="O992" s="7"/>
      <c r="P992" s="7"/>
      <c r="Q992" s="21"/>
      <c r="R992" s="7"/>
      <c r="S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4"/>
      <c r="K993" s="14"/>
      <c r="L993" s="14"/>
      <c r="M993" s="7"/>
      <c r="N993" s="7"/>
      <c r="O993" s="7"/>
      <c r="P993" s="7"/>
      <c r="Q993" s="21"/>
      <c r="R993" s="7"/>
      <c r="S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4"/>
      <c r="K994" s="14"/>
      <c r="L994" s="14"/>
      <c r="M994" s="7"/>
      <c r="N994" s="7"/>
      <c r="O994" s="7"/>
      <c r="P994" s="7"/>
      <c r="Q994" s="21"/>
      <c r="R994" s="7"/>
      <c r="S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4"/>
      <c r="K995" s="14"/>
      <c r="L995" s="14"/>
      <c r="M995" s="7"/>
      <c r="N995" s="7"/>
      <c r="O995" s="7"/>
      <c r="P995" s="7"/>
      <c r="Q995" s="21"/>
      <c r="R995" s="7"/>
      <c r="S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4"/>
      <c r="K996" s="14"/>
      <c r="L996" s="14"/>
      <c r="M996" s="7"/>
      <c r="N996" s="7"/>
      <c r="O996" s="7"/>
      <c r="P996" s="7"/>
      <c r="Q996" s="21"/>
      <c r="R996" s="7"/>
      <c r="S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4"/>
      <c r="K997" s="14"/>
      <c r="L997" s="14"/>
      <c r="M997" s="7"/>
      <c r="N997" s="7"/>
      <c r="O997" s="7"/>
      <c r="P997" s="7"/>
      <c r="Q997" s="21"/>
      <c r="R997" s="7"/>
      <c r="S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4"/>
      <c r="K998" s="14"/>
      <c r="L998" s="14"/>
      <c r="M998" s="7"/>
      <c r="N998" s="7"/>
      <c r="O998" s="7"/>
      <c r="P998" s="7"/>
      <c r="Q998" s="21"/>
      <c r="R998" s="7"/>
      <c r="S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4"/>
      <c r="K999" s="14"/>
      <c r="L999" s="14"/>
      <c r="M999" s="7"/>
      <c r="N999" s="7"/>
      <c r="O999" s="7"/>
      <c r="P999" s="7"/>
      <c r="Q999" s="21"/>
      <c r="R999" s="7"/>
      <c r="S999" s="7"/>
    </row>
  </sheetData>
  <mergeCells count="1">
    <mergeCell ref="R26:S26"/>
  </mergeCells>
  <dataValidations>
    <dataValidation type="list" allowBlank="1" showErrorMessage="1" sqref="I2:I298">
      <formula1>"Alta,Media,Bassa"</formula1>
    </dataValidation>
    <dataValidation type="list" allowBlank="1" showErrorMessage="1" sqref="E2:E298">
      <formula1>"Email,Phone,WhatsApp,Instagram,Facebook,In-person,Mix"</formula1>
    </dataValidation>
    <dataValidation type="list" allowBlank="1" showErrorMessage="1" sqref="F2:F298">
      <formula1>"caldo,tiepido,freddo"</formula1>
    </dataValidation>
    <dataValidation type="list" allowBlank="1" showErrorMessage="1" sqref="C2:C298">
      <formula1>"IT,EN,CZ"</formula1>
    </dataValidation>
    <dataValidation type="list" allowBlank="1" showErrorMessage="1" sqref="H2:H298">
      <formula1>"Active,In Follow-up,After Tasting,Waiting,Not Interested,Lost,WIn"</formula1>
    </dataValidation>
    <dataValidation type="list" allowBlank="1" showErrorMessage="1" sqref="P2:P298">
      <formula1>"Email follow-up,Soft follow-up,Strong follow-up,Call,Visit,Wait,Close / Lost"</formula1>
    </dataValidation>
    <dataValidation type="list" allowBlank="1" showErrorMessage="1" sqref="B2:B298">
      <formula1>"Ristorante,Wine Bar,Enoteca,Hotel,Distributore,Importatore"</formula1>
    </dataValidation>
  </dataValidations>
  <hyperlinks>
    <hyperlink r:id="rId1" ref="A24"/>
    <hyperlink r:id="rId2" ref="A25"/>
    <hyperlink r:id="rId3" ref="R55"/>
    <hyperlink r:id="rId4" ref="A58"/>
    <hyperlink r:id="rId5" ref="R67"/>
    <hyperlink r:id="rId6" ref="S81"/>
    <hyperlink r:id="rId7" ref="S82"/>
    <hyperlink r:id="rId8" ref="R87"/>
    <hyperlink r:id="rId9" ref="S87"/>
    <hyperlink r:id="rId10" ref="R88"/>
    <hyperlink r:id="rId11" ref="R106"/>
    <hyperlink r:id="rId12" ref="S114"/>
    <hyperlink r:id="rId13" ref="S115"/>
    <hyperlink r:id="rId14" ref="R116"/>
    <hyperlink r:id="rId15" ref="S116"/>
    <hyperlink r:id="rId16" ref="R118"/>
    <hyperlink r:id="rId17" ref="S118"/>
    <hyperlink r:id="rId18" ref="S119"/>
    <hyperlink r:id="rId19" ref="S120"/>
    <hyperlink r:id="rId20" ref="R121"/>
    <hyperlink r:id="rId21" ref="S122"/>
    <hyperlink r:id="rId22" ref="S123"/>
    <hyperlink r:id="rId23" ref="S124"/>
    <hyperlink r:id="rId24" ref="S125"/>
    <hyperlink r:id="rId25" ref="R127"/>
    <hyperlink r:id="rId26" ref="S127"/>
    <hyperlink r:id="rId27" ref="R128"/>
    <hyperlink r:id="rId28" ref="S128"/>
    <hyperlink r:id="rId29" ref="S134"/>
    <hyperlink r:id="rId30" ref="R135"/>
    <hyperlink r:id="rId31" ref="S135"/>
    <hyperlink r:id="rId32" ref="S136"/>
    <hyperlink r:id="rId33" ref="S137"/>
    <hyperlink r:id="rId34" ref="S138"/>
    <hyperlink r:id="rId35" ref="S139"/>
    <hyperlink r:id="rId36" ref="S140"/>
    <hyperlink r:id="rId37" ref="S143"/>
  </hyperlinks>
  <printOptions/>
  <pageMargins bottom="1.0" footer="0.0" header="0.0" left="0.75" right="0.75" top="1.0"/>
  <pageSetup orientation="landscape"/>
  <drawing r:id="rId3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43"/>
    <col customWidth="1" min="13" max="13" width="20.29"/>
    <col customWidth="1" min="14" max="14" width="22.71"/>
    <col customWidth="1" min="15" max="15" width="22.43"/>
    <col customWidth="1" min="20" max="20" width="29.43"/>
  </cols>
  <sheetData>
    <row r="1">
      <c r="A1" s="45" t="s">
        <v>0</v>
      </c>
      <c r="B1" s="45" t="s">
        <v>447</v>
      </c>
      <c r="C1" s="45" t="s">
        <v>448</v>
      </c>
      <c r="D1" s="45" t="s">
        <v>449</v>
      </c>
      <c r="E1" s="45" t="s">
        <v>450</v>
      </c>
      <c r="F1" s="45" t="s">
        <v>5</v>
      </c>
      <c r="G1" s="45" t="s">
        <v>451</v>
      </c>
      <c r="H1" s="45" t="s">
        <v>452</v>
      </c>
      <c r="I1" s="45" t="s">
        <v>453</v>
      </c>
      <c r="J1" s="45" t="s">
        <v>454</v>
      </c>
      <c r="K1" s="45" t="s">
        <v>455</v>
      </c>
      <c r="L1" s="45" t="s">
        <v>11</v>
      </c>
      <c r="M1" s="45" t="s">
        <v>12</v>
      </c>
      <c r="N1" s="45" t="s">
        <v>456</v>
      </c>
      <c r="O1" s="45" t="s">
        <v>14</v>
      </c>
      <c r="P1" s="45" t="s">
        <v>457</v>
      </c>
      <c r="Q1" s="45" t="s">
        <v>16</v>
      </c>
      <c r="T1" s="45"/>
    </row>
    <row r="2">
      <c r="A2" s="46" t="str">
        <f>IFERROR(__xludf.DUMMYFUNCTION("FILTER(Leads!A2:Q905,Leads!L2:L905 &lt;&gt; """",Leads!L2:L905 &lt;= TODAY())
"),"Ristorante la piccola perla")</f>
        <v>Ristorante la piccola perla</v>
      </c>
      <c r="B2" s="46" t="str">
        <f>IFERROR(__xludf.DUMMYFUNCTION("""COMPUTED_VALUE"""),"Ristorante")</f>
        <v>Ristorante</v>
      </c>
      <c r="C2" s="46" t="str">
        <f>IFERROR(__xludf.DUMMYFUNCTION("""COMPUTED_VALUE"""),"CZ")</f>
        <v>CZ</v>
      </c>
      <c r="D2" s="46" t="str">
        <f>IFERROR(__xludf.DUMMYFUNCTION("""COMPUTED_VALUE"""),"praga")</f>
        <v>praga</v>
      </c>
      <c r="E2" s="46" t="str">
        <f>IFERROR(__xludf.DUMMYFUNCTION("""COMPUTED_VALUE"""),"Email")</f>
        <v>Email</v>
      </c>
      <c r="F2" s="46" t="str">
        <f>IFERROR(__xludf.DUMMYFUNCTION("""COMPUTED_VALUE"""),"tiepido")</f>
        <v>tiepido</v>
      </c>
      <c r="G2" s="46" t="str">
        <f>IFERROR(__xludf.DUMMYFUNCTION("""COMPUTED_VALUE"""),"2 F.U.")</f>
        <v>2 F.U.</v>
      </c>
      <c r="H2" s="46" t="str">
        <f>IFERROR(__xludf.DUMMYFUNCTION("""COMPUTED_VALUE"""),"Waiting")</f>
        <v>Waiting</v>
      </c>
      <c r="I2" s="46" t="str">
        <f>IFERROR(__xludf.DUMMYFUNCTION("""COMPUTED_VALUE"""),"Bassa")</f>
        <v>Bassa</v>
      </c>
      <c r="J2" s="47">
        <f>IFERROR(__xludf.DUMMYFUNCTION("""COMPUTED_VALUE"""),45986.0)</f>
        <v>45986</v>
      </c>
      <c r="K2" s="47">
        <f>IFERROR(__xludf.DUMMYFUNCTION("""COMPUTED_VALUE"""),46001.0)</f>
        <v>46001</v>
      </c>
      <c r="L2" s="47">
        <f>IFERROR(__xludf.DUMMYFUNCTION("""COMPUTED_VALUE"""),46126.0)</f>
        <v>46126</v>
      </c>
      <c r="M2" s="46" t="str">
        <f>IFERROR(__xludf.DUMMYFUNCTION("""COMPUTED_VALUE"""),"Passare con samples")</f>
        <v>Passare con samples</v>
      </c>
      <c r="N2" s="46"/>
      <c r="O2" s="46"/>
      <c r="P2" s="46" t="str">
        <f>IFERROR(__xludf.DUMMYFUNCTION("""COMPUTED_VALUE"""),"Visit")</f>
        <v>Visit</v>
      </c>
      <c r="Q2" s="48">
        <f>IFERROR(__xludf.DUMMYFUNCTION("""COMPUTED_VALUE"""),0.3)</f>
        <v>0.3</v>
      </c>
    </row>
    <row r="3">
      <c r="A3" s="46" t="str">
        <f>IFERROR(__xludf.DUMMYFUNCTION("""COMPUTED_VALUE"""),"Restaurace Najedli")</f>
        <v>Restaurace Najedli</v>
      </c>
      <c r="B3" s="46" t="str">
        <f>IFERROR(__xludf.DUMMYFUNCTION("""COMPUTED_VALUE"""),"Ristorante")</f>
        <v>Ristorante</v>
      </c>
      <c r="C3" s="46" t="str">
        <f>IFERROR(__xludf.DUMMYFUNCTION("""COMPUTED_VALUE"""),"CZ")</f>
        <v>CZ</v>
      </c>
      <c r="D3" s="46" t="str">
        <f>IFERROR(__xludf.DUMMYFUNCTION("""COMPUTED_VALUE"""),"praga")</f>
        <v>praga</v>
      </c>
      <c r="E3" s="46" t="str">
        <f>IFERROR(__xludf.DUMMYFUNCTION("""COMPUTED_VALUE"""),"Phone")</f>
        <v>Phone</v>
      </c>
      <c r="F3" s="46" t="str">
        <f>IFERROR(__xludf.DUMMYFUNCTION("""COMPUTED_VALUE"""),"tiepido")</f>
        <v>tiepido</v>
      </c>
      <c r="G3" s="46" t="str">
        <f>IFERROR(__xludf.DUMMYFUNCTION("""COMPUTED_VALUE"""),"2 F.U.")</f>
        <v>2 F.U.</v>
      </c>
      <c r="H3" s="46" t="str">
        <f>IFERROR(__xludf.DUMMYFUNCTION("""COMPUTED_VALUE"""),"Active")</f>
        <v>Active</v>
      </c>
      <c r="I3" s="46" t="str">
        <f>IFERROR(__xludf.DUMMYFUNCTION("""COMPUTED_VALUE"""),"Media")</f>
        <v>Media</v>
      </c>
      <c r="J3" s="47">
        <f>IFERROR(__xludf.DUMMYFUNCTION("""COMPUTED_VALUE"""),45988.0)</f>
        <v>45988</v>
      </c>
      <c r="K3" s="47">
        <f>IFERROR(__xludf.DUMMYFUNCTION("""COMPUTED_VALUE"""),46101.0)</f>
        <v>46101</v>
      </c>
      <c r="L3" s="47">
        <f>IFERROR(__xludf.DUMMYFUNCTION("""COMPUTED_VALUE"""),46126.0)</f>
        <v>46126</v>
      </c>
      <c r="M3" s="46" t="str">
        <f>IFERROR(__xludf.DUMMYFUNCTION("""COMPUTED_VALUE"""),"vini piaciuti richiamare aprile x inserimento")</f>
        <v>vini piaciuti richiamare aprile x inserimento</v>
      </c>
      <c r="N3" s="46" t="str">
        <f>IFERROR(__xludf.DUMMYFUNCTION("""COMPUTED_VALUE"""),"Martina manager 14/1 inviato listino")</f>
        <v>Martina manager 14/1 inviato listino</v>
      </c>
      <c r="O3" s="46" t="str">
        <f>IFERROR(__xludf.DUMMYFUNCTION("""COMPUTED_VALUE"""),"10/12 chiesto samples")</f>
        <v>10/12 chiesto samples</v>
      </c>
      <c r="P3" s="46" t="str">
        <f>IFERROR(__xludf.DUMMYFUNCTION("""COMPUTED_VALUE"""),"Call")</f>
        <v>Call</v>
      </c>
      <c r="Q3" s="48">
        <f>IFERROR(__xludf.DUMMYFUNCTION("""COMPUTED_VALUE"""),0.2)</f>
        <v>0.2</v>
      </c>
    </row>
    <row r="4">
      <c r="A4" s="46" t="str">
        <f>IFERROR(__xludf.DUMMYFUNCTION("""COMPUTED_VALUE"""),"Vinobona")</f>
        <v>Vinobona</v>
      </c>
      <c r="B4" s="46" t="str">
        <f>IFERROR(__xludf.DUMMYFUNCTION("""COMPUTED_VALUE"""),"Ristorante")</f>
        <v>Ristorante</v>
      </c>
      <c r="C4" s="46" t="str">
        <f>IFERROR(__xludf.DUMMYFUNCTION("""COMPUTED_VALUE"""),"CZ")</f>
        <v>CZ</v>
      </c>
      <c r="D4" s="46" t="str">
        <f>IFERROR(__xludf.DUMMYFUNCTION("""COMPUTED_VALUE"""),"praga")</f>
        <v>praga</v>
      </c>
      <c r="E4" s="46" t="str">
        <f>IFERROR(__xludf.DUMMYFUNCTION("""COMPUTED_VALUE"""),"Email")</f>
        <v>Email</v>
      </c>
      <c r="F4" s="46" t="str">
        <f>IFERROR(__xludf.DUMMYFUNCTION("""COMPUTED_VALUE"""),"caldo")</f>
        <v>caldo</v>
      </c>
      <c r="G4" s="46" t="str">
        <f>IFERROR(__xludf.DUMMYFUNCTION("""COMPUTED_VALUE"""),"1 F.U.")</f>
        <v>1 F.U.</v>
      </c>
      <c r="H4" s="46" t="str">
        <f>IFERROR(__xludf.DUMMYFUNCTION("""COMPUTED_VALUE"""),"Waiting")</f>
        <v>Waiting</v>
      </c>
      <c r="I4" s="46" t="str">
        <f>IFERROR(__xludf.DUMMYFUNCTION("""COMPUTED_VALUE"""),"Media")</f>
        <v>Media</v>
      </c>
      <c r="J4" s="47">
        <f>IFERROR(__xludf.DUMMYFUNCTION("""COMPUTED_VALUE"""),46050.0)</f>
        <v>46050</v>
      </c>
      <c r="K4" s="47">
        <f>IFERROR(__xludf.DUMMYFUNCTION("""COMPUTED_VALUE"""),46056.0)</f>
        <v>46056</v>
      </c>
      <c r="L4" s="47">
        <f>IFERROR(__xludf.DUMMYFUNCTION("""COMPUTED_VALUE"""),46127.0)</f>
        <v>46127</v>
      </c>
      <c r="M4" s="46" t="str">
        <f>IFERROR(__xludf.DUMMYFUNCTION("""COMPUTED_VALUE"""),"Passare con samples")</f>
        <v>Passare con samples</v>
      </c>
      <c r="N4" s="46"/>
      <c r="O4" s="46" t="str">
        <f>IFERROR(__xludf.DUMMYFUNCTION("""COMPUTED_VALUE"""),"non hanno risposto, passare portare samples")</f>
        <v>non hanno risposto, passare portare samples</v>
      </c>
      <c r="P4" s="46" t="str">
        <f>IFERROR(__xludf.DUMMYFUNCTION("""COMPUTED_VALUE"""),"Visit")</f>
        <v>Visit</v>
      </c>
      <c r="Q4" s="48">
        <f>IFERROR(__xludf.DUMMYFUNCTION("""COMPUTED_VALUE"""),0.2)</f>
        <v>0.2</v>
      </c>
    </row>
    <row r="5">
      <c r="A5" s="46" t="str">
        <f>IFERROR(__xludf.DUMMYFUNCTION("""COMPUTED_VALUE"""),"La Casa Trattoria")</f>
        <v>La Casa Trattoria</v>
      </c>
      <c r="B5" s="46" t="str">
        <f>IFERROR(__xludf.DUMMYFUNCTION("""COMPUTED_VALUE"""),"Ristorante")</f>
        <v>Ristorante</v>
      </c>
      <c r="C5" s="46" t="str">
        <f>IFERROR(__xludf.DUMMYFUNCTION("""COMPUTED_VALUE"""),"CZ")</f>
        <v>CZ</v>
      </c>
      <c r="D5" s="46" t="str">
        <f>IFERROR(__xludf.DUMMYFUNCTION("""COMPUTED_VALUE"""),"praga")</f>
        <v>praga</v>
      </c>
      <c r="E5" s="46" t="str">
        <f>IFERROR(__xludf.DUMMYFUNCTION("""COMPUTED_VALUE"""),"Email")</f>
        <v>Email</v>
      </c>
      <c r="F5" s="46" t="str">
        <f>IFERROR(__xludf.DUMMYFUNCTION("""COMPUTED_VALUE"""),"tiepido")</f>
        <v>tiepido</v>
      </c>
      <c r="G5" s="46" t="str">
        <f>IFERROR(__xludf.DUMMYFUNCTION("""COMPUTED_VALUE"""),"Samples")</f>
        <v>Samples</v>
      </c>
      <c r="H5" s="46" t="str">
        <f>IFERROR(__xludf.DUMMYFUNCTION("""COMPUTED_VALUE"""),"After Tasting")</f>
        <v>After Tasting</v>
      </c>
      <c r="I5" s="46" t="str">
        <f>IFERROR(__xludf.DUMMYFUNCTION("""COMPUTED_VALUE"""),"Media")</f>
        <v>Media</v>
      </c>
      <c r="J5" s="47">
        <f>IFERROR(__xludf.DUMMYFUNCTION("""COMPUTED_VALUE"""),46050.0)</f>
        <v>46050</v>
      </c>
      <c r="K5" s="47">
        <f>IFERROR(__xludf.DUMMYFUNCTION("""COMPUTED_VALUE"""),46064.0)</f>
        <v>46064</v>
      </c>
      <c r="L5" s="49">
        <f>IFERROR(__xludf.DUMMYFUNCTION("""COMPUTED_VALUE"""),46125.0)</f>
        <v>46125</v>
      </c>
      <c r="M5" s="46" t="str">
        <f>IFERROR(__xludf.DUMMYFUNCTION("""COMPUTED_VALUE"""),"25/2 Chiamato x sapere samples. fanno sapere loro")</f>
        <v>25/2 Chiamato x sapere samples. fanno sapere loro</v>
      </c>
      <c r="N5" s="46" t="str">
        <f>IFERROR(__xludf.DUMMYFUNCTION("""COMPUTED_VALUE"""),"20/02 lasciato 1 primitivo + 1 pecorino + listino")</f>
        <v>20/02 lasciato 1 primitivo + 1 pecorino + listino</v>
      </c>
      <c r="O5" s="46" t="str">
        <f>IFERROR(__xludf.DUMMYFUNCTION("""COMPUTED_VALUE"""),"non hanno risposto, passare portare samples")</f>
        <v>non hanno risposto, passare portare samples</v>
      </c>
      <c r="P5" s="46" t="str">
        <f>IFERROR(__xludf.DUMMYFUNCTION("""COMPUTED_VALUE"""),"Call")</f>
        <v>Call</v>
      </c>
      <c r="Q5" s="48">
        <f>IFERROR(__xludf.DUMMYFUNCTION("""COMPUTED_VALUE"""),0.2)</f>
        <v>0.2</v>
      </c>
    </row>
    <row r="6">
      <c r="A6" s="46" t="str">
        <f>IFERROR(__xludf.DUMMYFUNCTION("""COMPUTED_VALUE"""),"Diskoteca Pizza")</f>
        <v>Diskoteca Pizza</v>
      </c>
      <c r="B6" s="46" t="str">
        <f>IFERROR(__xludf.DUMMYFUNCTION("""COMPUTED_VALUE"""),"Ristorante")</f>
        <v>Ristorante</v>
      </c>
      <c r="C6" s="46" t="str">
        <f>IFERROR(__xludf.DUMMYFUNCTION("""COMPUTED_VALUE"""),"EN")</f>
        <v>EN</v>
      </c>
      <c r="D6" s="46" t="str">
        <f>IFERROR(__xludf.DUMMYFUNCTION("""COMPUTED_VALUE"""),"praga")</f>
        <v>praga</v>
      </c>
      <c r="E6" s="46" t="str">
        <f>IFERROR(__xludf.DUMMYFUNCTION("""COMPUTED_VALUE"""),"Instagram")</f>
        <v>Instagram</v>
      </c>
      <c r="F6" s="46" t="str">
        <f>IFERROR(__xludf.DUMMYFUNCTION("""COMPUTED_VALUE"""),"caldo")</f>
        <v>caldo</v>
      </c>
      <c r="G6" s="46" t="str">
        <f>IFERROR(__xludf.DUMMYFUNCTION("""COMPUTED_VALUE"""),"instagram")</f>
        <v>instagram</v>
      </c>
      <c r="H6" s="46" t="str">
        <f>IFERROR(__xludf.DUMMYFUNCTION("""COMPUTED_VALUE"""),"Waiting")</f>
        <v>Waiting</v>
      </c>
      <c r="I6" s="46" t="str">
        <f>IFERROR(__xludf.DUMMYFUNCTION("""COMPUTED_VALUE"""),"Alta")</f>
        <v>Alta</v>
      </c>
      <c r="J6" s="47">
        <f>IFERROR(__xludf.DUMMYFUNCTION("""COMPUTED_VALUE"""),46123.0)</f>
        <v>46123</v>
      </c>
      <c r="K6" s="47">
        <f>IFERROR(__xludf.DUMMYFUNCTION("""COMPUTED_VALUE"""),46123.0)</f>
        <v>46123</v>
      </c>
      <c r="L6" s="47">
        <f>IFERROR(__xludf.DUMMYFUNCTION("""COMPUTED_VALUE"""),46129.0)</f>
        <v>46129</v>
      </c>
      <c r="M6" s="46"/>
      <c r="N6" s="46"/>
      <c r="O6" s="46"/>
      <c r="P6" s="46"/>
      <c r="Q6" s="48"/>
    </row>
    <row r="12">
      <c r="R12" s="50"/>
    </row>
  </sheetData>
  <mergeCells count="1">
    <mergeCell ref="R12:S12"/>
  </mergeCells>
  <conditionalFormatting sqref="L2:L905">
    <cfRule type="expression" dxfId="0" priority="1">
      <formula>AND(ISNUMBER(L2),TRUNC(L2)&lt;TODAY())</formula>
    </cfRule>
  </conditionalFormatting>
  <conditionalFormatting sqref="L2:L905">
    <cfRule type="cellIs" dxfId="1" priority="2" operator="equal">
      <formula>"oggi"</formula>
    </cfRule>
  </conditionalFormatting>
  <conditionalFormatting sqref="L2:L905">
    <cfRule type="expression" dxfId="2" priority="3">
      <formula>AND(ISNUMBER(L2),TRUNC(L2)&gt;TODAY())</formula>
    </cfRule>
  </conditionalFormatting>
  <conditionalFormatting sqref="I2:I905">
    <cfRule type="containsText" dxfId="0" priority="4" operator="containsText" text="Alta">
      <formula>NOT(ISERROR(SEARCH(("Alta"),(I2))))</formula>
    </cfRule>
  </conditionalFormatting>
  <conditionalFormatting sqref="I2:I905">
    <cfRule type="containsText" dxfId="1" priority="5" operator="containsText" text="Media">
      <formula>NOT(ISERROR(SEARCH(("Media"),(I2))))</formula>
    </cfRule>
  </conditionalFormatting>
  <conditionalFormatting sqref="I2:I905">
    <cfRule type="containsText" dxfId="3" priority="6" operator="containsText" text="Bassa">
      <formula>NOT(ISERROR(SEARCH(("Bassa"),(I2))))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</row>
    <row r="2">
      <c r="A2" s="7" t="str">
        <f>IFERROR(__xludf.DUMMYFUNCTION("FILTER(
  Leads!A2:Q1000,
  Leads!L2:L1000 &lt;&gt; """",
  Leads!L2:L1000 &lt; TODAY()
)
"),"Ristorante la piccola perla")</f>
        <v>Ristorante la piccola perla</v>
      </c>
      <c r="B2" s="7" t="str">
        <f>IFERROR(__xludf.DUMMYFUNCTION("""COMPUTED_VALUE"""),"Ristorante")</f>
        <v>Ristorante</v>
      </c>
      <c r="C2" s="7" t="str">
        <f>IFERROR(__xludf.DUMMYFUNCTION("""COMPUTED_VALUE"""),"CZ")</f>
        <v>CZ</v>
      </c>
      <c r="D2" s="7" t="str">
        <f>IFERROR(__xludf.DUMMYFUNCTION("""COMPUTED_VALUE"""),"praga")</f>
        <v>praga</v>
      </c>
      <c r="E2" s="7" t="str">
        <f>IFERROR(__xludf.DUMMYFUNCTION("""COMPUTED_VALUE"""),"Email")</f>
        <v>Email</v>
      </c>
      <c r="F2" s="7" t="str">
        <f>IFERROR(__xludf.DUMMYFUNCTION("""COMPUTED_VALUE"""),"tiepido")</f>
        <v>tiepido</v>
      </c>
      <c r="G2" s="7" t="str">
        <f>IFERROR(__xludf.DUMMYFUNCTION("""COMPUTED_VALUE"""),"2 F.U.")</f>
        <v>2 F.U.</v>
      </c>
      <c r="H2" s="7" t="str">
        <f>IFERROR(__xludf.DUMMYFUNCTION("""COMPUTED_VALUE"""),"Waiting")</f>
        <v>Waiting</v>
      </c>
      <c r="I2" s="7" t="str">
        <f>IFERROR(__xludf.DUMMYFUNCTION("""COMPUTED_VALUE"""),"Bassa")</f>
        <v>Bassa</v>
      </c>
      <c r="J2" s="14">
        <f>IFERROR(__xludf.DUMMYFUNCTION("""COMPUTED_VALUE"""),45986.0)</f>
        <v>45986</v>
      </c>
      <c r="K2" s="14">
        <f>IFERROR(__xludf.DUMMYFUNCTION("""COMPUTED_VALUE"""),46001.0)</f>
        <v>46001</v>
      </c>
      <c r="L2" s="14">
        <f>IFERROR(__xludf.DUMMYFUNCTION("""COMPUTED_VALUE"""),46126.0)</f>
        <v>46126</v>
      </c>
      <c r="M2" s="7" t="str">
        <f>IFERROR(__xludf.DUMMYFUNCTION("""COMPUTED_VALUE"""),"Passare con samples")</f>
        <v>Passare con samples</v>
      </c>
      <c r="N2" s="7"/>
      <c r="O2" s="7"/>
      <c r="P2" s="7" t="str">
        <f>IFERROR(__xludf.DUMMYFUNCTION("""COMPUTED_VALUE"""),"Visit")</f>
        <v>Visit</v>
      </c>
      <c r="Q2" s="21">
        <f>IFERROR(__xludf.DUMMYFUNCTION("""COMPUTED_VALUE"""),0.3)</f>
        <v>0.3</v>
      </c>
    </row>
    <row r="3">
      <c r="A3" s="7" t="str">
        <f>IFERROR(__xludf.DUMMYFUNCTION("""COMPUTED_VALUE"""),"Restaurace Najedli")</f>
        <v>Restaurace Najedli</v>
      </c>
      <c r="B3" s="7" t="str">
        <f>IFERROR(__xludf.DUMMYFUNCTION("""COMPUTED_VALUE"""),"Ristorante")</f>
        <v>Ristorante</v>
      </c>
      <c r="C3" s="7" t="str">
        <f>IFERROR(__xludf.DUMMYFUNCTION("""COMPUTED_VALUE"""),"CZ")</f>
        <v>CZ</v>
      </c>
      <c r="D3" s="7" t="str">
        <f>IFERROR(__xludf.DUMMYFUNCTION("""COMPUTED_VALUE"""),"praga")</f>
        <v>praga</v>
      </c>
      <c r="E3" s="7" t="str">
        <f>IFERROR(__xludf.DUMMYFUNCTION("""COMPUTED_VALUE"""),"Phone")</f>
        <v>Phone</v>
      </c>
      <c r="F3" s="7" t="str">
        <f>IFERROR(__xludf.DUMMYFUNCTION("""COMPUTED_VALUE"""),"tiepido")</f>
        <v>tiepido</v>
      </c>
      <c r="G3" s="7" t="str">
        <f>IFERROR(__xludf.DUMMYFUNCTION("""COMPUTED_VALUE"""),"2 F.U.")</f>
        <v>2 F.U.</v>
      </c>
      <c r="H3" s="7" t="str">
        <f>IFERROR(__xludf.DUMMYFUNCTION("""COMPUTED_VALUE"""),"Active")</f>
        <v>Active</v>
      </c>
      <c r="I3" s="7" t="str">
        <f>IFERROR(__xludf.DUMMYFUNCTION("""COMPUTED_VALUE"""),"Media")</f>
        <v>Media</v>
      </c>
      <c r="J3" s="14">
        <f>IFERROR(__xludf.DUMMYFUNCTION("""COMPUTED_VALUE"""),45988.0)</f>
        <v>45988</v>
      </c>
      <c r="K3" s="14">
        <f>IFERROR(__xludf.DUMMYFUNCTION("""COMPUTED_VALUE"""),46101.0)</f>
        <v>46101</v>
      </c>
      <c r="L3" s="14">
        <f>IFERROR(__xludf.DUMMYFUNCTION("""COMPUTED_VALUE"""),46126.0)</f>
        <v>46126</v>
      </c>
      <c r="M3" s="7" t="str">
        <f>IFERROR(__xludf.DUMMYFUNCTION("""COMPUTED_VALUE"""),"vini piaciuti richiamare aprile x inserimento")</f>
        <v>vini piaciuti richiamare aprile x inserimento</v>
      </c>
      <c r="N3" s="7" t="str">
        <f>IFERROR(__xludf.DUMMYFUNCTION("""COMPUTED_VALUE"""),"Martina manager 14/1 inviato listino")</f>
        <v>Martina manager 14/1 inviato listino</v>
      </c>
      <c r="O3" s="7" t="str">
        <f>IFERROR(__xludf.DUMMYFUNCTION("""COMPUTED_VALUE"""),"10/12 chiesto samples")</f>
        <v>10/12 chiesto samples</v>
      </c>
      <c r="P3" s="7" t="str">
        <f>IFERROR(__xludf.DUMMYFUNCTION("""COMPUTED_VALUE"""),"Call")</f>
        <v>Call</v>
      </c>
      <c r="Q3" s="21">
        <f>IFERROR(__xludf.DUMMYFUNCTION("""COMPUTED_VALUE"""),0.2)</f>
        <v>0.2</v>
      </c>
    </row>
    <row r="4">
      <c r="A4" s="7" t="str">
        <f>IFERROR(__xludf.DUMMYFUNCTION("""COMPUTED_VALUE"""),"Vinobona")</f>
        <v>Vinobona</v>
      </c>
      <c r="B4" s="7" t="str">
        <f>IFERROR(__xludf.DUMMYFUNCTION("""COMPUTED_VALUE"""),"Ristorante")</f>
        <v>Ristorante</v>
      </c>
      <c r="C4" s="7" t="str">
        <f>IFERROR(__xludf.DUMMYFUNCTION("""COMPUTED_VALUE"""),"CZ")</f>
        <v>CZ</v>
      </c>
      <c r="D4" s="7" t="str">
        <f>IFERROR(__xludf.DUMMYFUNCTION("""COMPUTED_VALUE"""),"praga")</f>
        <v>praga</v>
      </c>
      <c r="E4" s="7" t="str">
        <f>IFERROR(__xludf.DUMMYFUNCTION("""COMPUTED_VALUE"""),"Email")</f>
        <v>Email</v>
      </c>
      <c r="F4" s="7" t="str">
        <f>IFERROR(__xludf.DUMMYFUNCTION("""COMPUTED_VALUE"""),"caldo")</f>
        <v>caldo</v>
      </c>
      <c r="G4" s="7" t="str">
        <f>IFERROR(__xludf.DUMMYFUNCTION("""COMPUTED_VALUE"""),"1 F.U.")</f>
        <v>1 F.U.</v>
      </c>
      <c r="H4" s="7" t="str">
        <f>IFERROR(__xludf.DUMMYFUNCTION("""COMPUTED_VALUE"""),"Waiting")</f>
        <v>Waiting</v>
      </c>
      <c r="I4" s="7" t="str">
        <f>IFERROR(__xludf.DUMMYFUNCTION("""COMPUTED_VALUE"""),"Media")</f>
        <v>Media</v>
      </c>
      <c r="J4" s="14">
        <f>IFERROR(__xludf.DUMMYFUNCTION("""COMPUTED_VALUE"""),46050.0)</f>
        <v>46050</v>
      </c>
      <c r="K4" s="14">
        <f>IFERROR(__xludf.DUMMYFUNCTION("""COMPUTED_VALUE"""),46056.0)</f>
        <v>46056</v>
      </c>
      <c r="L4" s="14">
        <f>IFERROR(__xludf.DUMMYFUNCTION("""COMPUTED_VALUE"""),46127.0)</f>
        <v>46127</v>
      </c>
      <c r="M4" s="7" t="str">
        <f>IFERROR(__xludf.DUMMYFUNCTION("""COMPUTED_VALUE"""),"Passare con samples")</f>
        <v>Passare con samples</v>
      </c>
      <c r="N4" s="7"/>
      <c r="O4" s="7" t="str">
        <f>IFERROR(__xludf.DUMMYFUNCTION("""COMPUTED_VALUE"""),"non hanno risposto, passare portare samples")</f>
        <v>non hanno risposto, passare portare samples</v>
      </c>
      <c r="P4" s="7" t="str">
        <f>IFERROR(__xludf.DUMMYFUNCTION("""COMPUTED_VALUE"""),"Visit")</f>
        <v>Visit</v>
      </c>
      <c r="Q4" s="21">
        <f>IFERROR(__xludf.DUMMYFUNCTION("""COMPUTED_VALUE"""),0.2)</f>
        <v>0.2</v>
      </c>
    </row>
    <row r="5">
      <c r="A5" s="7" t="str">
        <f>IFERROR(__xludf.DUMMYFUNCTION("""COMPUTED_VALUE"""),"La Casa Trattoria")</f>
        <v>La Casa Trattoria</v>
      </c>
      <c r="B5" s="7" t="str">
        <f>IFERROR(__xludf.DUMMYFUNCTION("""COMPUTED_VALUE"""),"Ristorante")</f>
        <v>Ristorante</v>
      </c>
      <c r="C5" s="7" t="str">
        <f>IFERROR(__xludf.DUMMYFUNCTION("""COMPUTED_VALUE"""),"CZ")</f>
        <v>CZ</v>
      </c>
      <c r="D5" s="7" t="str">
        <f>IFERROR(__xludf.DUMMYFUNCTION("""COMPUTED_VALUE"""),"praga")</f>
        <v>praga</v>
      </c>
      <c r="E5" s="7" t="str">
        <f>IFERROR(__xludf.DUMMYFUNCTION("""COMPUTED_VALUE"""),"Email")</f>
        <v>Email</v>
      </c>
      <c r="F5" s="7" t="str">
        <f>IFERROR(__xludf.DUMMYFUNCTION("""COMPUTED_VALUE"""),"tiepido")</f>
        <v>tiepido</v>
      </c>
      <c r="G5" s="7" t="str">
        <f>IFERROR(__xludf.DUMMYFUNCTION("""COMPUTED_VALUE"""),"Samples")</f>
        <v>Samples</v>
      </c>
      <c r="H5" s="7" t="str">
        <f>IFERROR(__xludf.DUMMYFUNCTION("""COMPUTED_VALUE"""),"After Tasting")</f>
        <v>After Tasting</v>
      </c>
      <c r="I5" s="7" t="str">
        <f>IFERROR(__xludf.DUMMYFUNCTION("""COMPUTED_VALUE"""),"Media")</f>
        <v>Media</v>
      </c>
      <c r="J5" s="14">
        <f>IFERROR(__xludf.DUMMYFUNCTION("""COMPUTED_VALUE"""),46050.0)</f>
        <v>46050</v>
      </c>
      <c r="K5" s="14">
        <f>IFERROR(__xludf.DUMMYFUNCTION("""COMPUTED_VALUE"""),46064.0)</f>
        <v>46064</v>
      </c>
      <c r="L5" s="51">
        <f>IFERROR(__xludf.DUMMYFUNCTION("""COMPUTED_VALUE"""),46125.0)</f>
        <v>46125</v>
      </c>
      <c r="M5" s="7" t="str">
        <f>IFERROR(__xludf.DUMMYFUNCTION("""COMPUTED_VALUE"""),"25/2 Chiamato x sapere samples. fanno sapere loro")</f>
        <v>25/2 Chiamato x sapere samples. fanno sapere loro</v>
      </c>
      <c r="N5" s="7" t="str">
        <f>IFERROR(__xludf.DUMMYFUNCTION("""COMPUTED_VALUE"""),"20/02 lasciato 1 primitivo + 1 pecorino + listino")</f>
        <v>20/02 lasciato 1 primitivo + 1 pecorino + listino</v>
      </c>
      <c r="O5" s="7" t="str">
        <f>IFERROR(__xludf.DUMMYFUNCTION("""COMPUTED_VALUE"""),"non hanno risposto, passare portare samples")</f>
        <v>non hanno risposto, passare portare samples</v>
      </c>
      <c r="P5" s="7" t="str">
        <f>IFERROR(__xludf.DUMMYFUNCTION("""COMPUTED_VALUE"""),"Call")</f>
        <v>Call</v>
      </c>
      <c r="Q5" s="21">
        <f>IFERROR(__xludf.DUMMYFUNCTION("""COMPUTED_VALUE"""),0.2)</f>
        <v>0.2</v>
      </c>
    </row>
    <row r="6">
      <c r="A6" s="7" t="str">
        <f>IFERROR(__xludf.DUMMYFUNCTION("""COMPUTED_VALUE"""),"Diskoteca Pizza")</f>
        <v>Diskoteca Pizza</v>
      </c>
      <c r="B6" s="7" t="str">
        <f>IFERROR(__xludf.DUMMYFUNCTION("""COMPUTED_VALUE"""),"Ristorante")</f>
        <v>Ristorante</v>
      </c>
      <c r="C6" s="7" t="str">
        <f>IFERROR(__xludf.DUMMYFUNCTION("""COMPUTED_VALUE"""),"EN")</f>
        <v>EN</v>
      </c>
      <c r="D6" s="7" t="str">
        <f>IFERROR(__xludf.DUMMYFUNCTION("""COMPUTED_VALUE"""),"praga")</f>
        <v>praga</v>
      </c>
      <c r="E6" s="7" t="str">
        <f>IFERROR(__xludf.DUMMYFUNCTION("""COMPUTED_VALUE"""),"Instagram")</f>
        <v>Instagram</v>
      </c>
      <c r="F6" s="7" t="str">
        <f>IFERROR(__xludf.DUMMYFUNCTION("""COMPUTED_VALUE"""),"caldo")</f>
        <v>caldo</v>
      </c>
      <c r="G6" s="7" t="str">
        <f>IFERROR(__xludf.DUMMYFUNCTION("""COMPUTED_VALUE"""),"instagram")</f>
        <v>instagram</v>
      </c>
      <c r="H6" s="7" t="str">
        <f>IFERROR(__xludf.DUMMYFUNCTION("""COMPUTED_VALUE"""),"Waiting")</f>
        <v>Waiting</v>
      </c>
      <c r="I6" s="7" t="str">
        <f>IFERROR(__xludf.DUMMYFUNCTION("""COMPUTED_VALUE"""),"Alta")</f>
        <v>Alta</v>
      </c>
      <c r="J6" s="14">
        <f>IFERROR(__xludf.DUMMYFUNCTION("""COMPUTED_VALUE"""),46123.0)</f>
        <v>46123</v>
      </c>
      <c r="K6" s="14">
        <f>IFERROR(__xludf.DUMMYFUNCTION("""COMPUTED_VALUE"""),46123.0)</f>
        <v>46123</v>
      </c>
      <c r="L6" s="14">
        <f>IFERROR(__xludf.DUMMYFUNCTION("""COMPUTED_VALUE"""),46129.0)</f>
        <v>46129</v>
      </c>
      <c r="M6" s="7"/>
      <c r="N6" s="7"/>
      <c r="O6" s="7"/>
      <c r="P6" s="7"/>
      <c r="Q6" s="21"/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</row>
  </sheetData>
  <conditionalFormatting sqref="I2:I1000">
    <cfRule type="expression" dxfId="0" priority="1">
      <formula>$I2="Alta"</formula>
    </cfRule>
  </conditionalFormatting>
  <conditionalFormatting sqref="I2:I1000">
    <cfRule type="expression" dxfId="4" priority="2">
      <formula>$I2="Media"</formula>
    </cfRule>
  </conditionalFormatting>
  <conditionalFormatting sqref="I2:I1000">
    <cfRule type="expression" dxfId="3" priority="3">
      <formula>$I2="Bassa"</formula>
    </cfRule>
  </conditionalFormatting>
  <conditionalFormatting sqref="L2:L1000">
    <cfRule type="expression" dxfId="0" priority="4">
      <formula>AND($L2&lt;&gt;"", $L2&lt;TODAY())</formula>
    </cfRule>
  </conditionalFormatting>
  <drawing r:id="rId1"/>
</worksheet>
</file>